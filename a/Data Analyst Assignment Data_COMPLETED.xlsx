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nalysis Notes" sheetId="1" state="visible" r:id="rId1"/>
    <sheet name="orders" sheetId="2" state="visible" r:id="rId2"/>
    <sheet name="Questions" sheetId="3" state="visible" r:id="rId3"/>
    <sheet name="Products s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-mmm-yyyy"/>
    <numFmt numFmtId="165" formatCode="yyyy-mm-dd"/>
    <numFmt numFmtId="166" formatCode="dd-mmm-yyyy"/>
    <numFmt numFmtId="167" formatCode="M/d/yyyy"/>
  </numFmts>
  <fonts count="8">
    <font>
      <name val="Arial"/>
      <color rgb="FF000000"/>
      <sz val="10"/>
      <scheme val="minor"/>
    </font>
    <font>
      <name val="Cambria"/>
      <b val="1"/>
      <color theme="1"/>
    </font>
    <font>
      <name val="Cambria"/>
      <color theme="1"/>
    </font>
    <font>
      <name val="Cambria"/>
      <color rgb="FF000000"/>
    </font>
    <font>
      <b val="1"/>
    </font>
    <font>
      <b val="1"/>
      <color rgb="00FF0000"/>
    </font>
    <font>
      <b val="1"/>
      <color rgb="00FF0000"/>
      <sz val="14"/>
    </font>
    <font>
      <name val="Courier New"/>
      <sz val="10"/>
    </font>
  </fonts>
  <fills count="5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00FFFF00"/>
        <bgColor rgb="00FFFF00"/>
      </patternFill>
    </fill>
  </fills>
  <borders count="1">
    <border/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pivotButton="0" quotePrefix="0" xfId="0"/>
    <xf numFmtId="166" fontId="2" fillId="0" borderId="0" applyAlignment="1" pivotButton="0" quotePrefix="0" xfId="0">
      <alignment horizontal="right" vertical="bottom"/>
    </xf>
    <xf numFmtId="9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167" fontId="2" fillId="0" borderId="0" applyAlignment="1" pivotButton="0" quotePrefix="0" xfId="0">
      <alignment horizontal="right" vertical="bottom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vertical="bottom"/>
    </xf>
    <xf numFmtId="164" fontId="2" fillId="4" borderId="0" applyAlignment="1" pivotButton="0" quotePrefix="0" xfId="0">
      <alignment horizontal="right" vertical="bottom"/>
    </xf>
    <xf numFmtId="165" fontId="2" fillId="4" borderId="0" applyAlignment="1" pivotButton="0" quotePrefix="0" xfId="0">
      <alignment vertical="bottom"/>
    </xf>
    <xf numFmtId="0" fontId="2" fillId="4" borderId="0" applyAlignment="1" pivotButton="0" quotePrefix="0" xfId="0">
      <alignment horizontal="right" vertical="bottom"/>
    </xf>
    <xf numFmtId="0" fontId="2" fillId="4" borderId="0" pivotButton="0" quotePrefix="0" xfId="0"/>
    <xf numFmtId="0" fontId="5" fillId="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80" customWidth="1" style="25" min="1" max="1"/>
  </cols>
  <sheetData>
    <row r="1">
      <c r="A1" s="26" t="inlineStr">
        <is>
          <t>IMPORTANT: Data Quality Issues &amp; Analysis Notes</t>
        </is>
      </c>
    </row>
    <row r="3">
      <c r="A3" s="27" t="inlineStr">
        <is>
          <t>1. DUPLICATE ROWS DETECTED:</t>
        </is>
      </c>
    </row>
    <row r="4">
      <c r="A4" s="27" t="inlineStr">
        <is>
          <t xml:space="preserve">   The dataset contains 2 duplicate orders:</t>
        </is>
      </c>
    </row>
    <row r="5">
      <c r="A5" s="28" t="inlineStr">
        <is>
          <t xml:space="preserve">   - Order O080 (East, Office Chair): appears in rows 82 &amp; 94 of orders sheet</t>
        </is>
      </c>
    </row>
    <row r="6">
      <c r="A6" s="28" t="inlineStr">
        <is>
          <t xml:space="preserve">   - Order O100 (West, Printer): appears in rows 47 &amp; 103 of orders sheet</t>
        </is>
      </c>
    </row>
    <row r="7">
      <c r="A7" s="0" t="inlineStr">
        <is>
          <t xml:space="preserve">   These duplicates are marked with 'DUPLICATE' in column Z of the orders sheet.</t>
        </is>
      </c>
    </row>
    <row r="8">
      <c r="A8" s="0" t="inlineStr"/>
    </row>
    <row r="9">
      <c r="A9" s="27" t="inlineStr">
        <is>
          <t>2. IMPACT ON CALCULATIONS:</t>
        </is>
      </c>
    </row>
    <row r="10">
      <c r="A10" s="0" t="inlineStr">
        <is>
          <t xml:space="preserve">   The Excel formulas calculate ALL 126 rows including duplicates.</t>
        </is>
      </c>
    </row>
    <row r="11">
      <c r="A11" s="27" t="inlineStr">
        <is>
          <t xml:space="preserve">   This affects regional totals:</t>
        </is>
      </c>
    </row>
    <row r="12">
      <c r="A12" s="0" t="inlineStr"/>
    </row>
    <row r="13">
      <c r="A13" s="28" t="inlineStr">
        <is>
          <t xml:space="preserve">   WITH DUPLICATES (Formula-based calculation):</t>
        </is>
      </c>
    </row>
    <row r="14">
      <c r="A14" s="28" t="inlineStr">
        <is>
          <t xml:space="preserve">   - West:  ₹1,858,965.00</t>
        </is>
      </c>
    </row>
    <row r="15">
      <c r="A15" s="28" t="inlineStr">
        <is>
          <t xml:space="preserve">   - North: ₹1,329,260.00</t>
        </is>
      </c>
    </row>
    <row r="16">
      <c r="A16" s="28" t="inlineStr">
        <is>
          <t xml:space="preserve">   - South: ₹1,312,220.00</t>
        </is>
      </c>
    </row>
    <row r="17">
      <c r="A17" s="28" t="inlineStr">
        <is>
          <t xml:space="preserve">   - East:  ₹1,104,235.00</t>
        </is>
      </c>
    </row>
    <row r="18">
      <c r="A18" s="0" t="inlineStr"/>
    </row>
    <row r="19">
      <c r="A19" s="28" t="inlineStr">
        <is>
          <t xml:space="preserve">   WITHOUT DUPLICATES (Pivot table on unique rows):</t>
        </is>
      </c>
    </row>
    <row r="20">
      <c r="A20" s="28" t="inlineStr">
        <is>
          <t xml:space="preserve">   - West:  ₹1,836,405.00 (difference: -₹22,560)</t>
        </is>
      </c>
    </row>
    <row r="21">
      <c r="A21" s="28" t="inlineStr">
        <is>
          <t xml:space="preserve">   - North: ₹1,329,260.00 (no change)</t>
        </is>
      </c>
    </row>
    <row r="22">
      <c r="A22" s="28" t="inlineStr">
        <is>
          <t xml:space="preserve">   - South: ₹1,312,220.00 (no change)</t>
        </is>
      </c>
    </row>
    <row r="23">
      <c r="A23" s="28" t="inlineStr">
        <is>
          <t xml:space="preserve">   - East:  ₹1,089,985.00 (difference: -₹14,250)</t>
        </is>
      </c>
    </row>
    <row r="24">
      <c r="A24" s="0" t="inlineStr"/>
    </row>
    <row r="25">
      <c r="A25" s="27" t="inlineStr">
        <is>
          <t>3. RECOMMENDATION:</t>
        </is>
      </c>
    </row>
    <row r="26">
      <c r="A26" s="0" t="inlineStr">
        <is>
          <t xml:space="preserve">   For accurate analysis, remove duplicate rows before creating pivot tables.</t>
        </is>
      </c>
    </row>
    <row r="27">
      <c r="A27" s="0" t="inlineStr">
        <is>
          <t xml:space="preserve">   The duplicate impact totals ₹36,810 in additional Net Revenue.</t>
        </is>
      </c>
    </row>
    <row r="28">
      <c r="A28" s="0" t="inlineStr"/>
    </row>
    <row r="29">
      <c r="A29" s="27" t="inlineStr">
        <is>
          <t>4. WHY DIFFERENT APPROACHES GIVE DIFFERENT RESULTS:</t>
        </is>
      </c>
    </row>
    <row r="30">
      <c r="A30" s="28" t="inlineStr">
        <is>
          <t xml:space="preserve">   - Excel formulas: Process every row individually (includes duplicates)</t>
        </is>
      </c>
    </row>
    <row r="31">
      <c r="A31" s="28" t="inlineStr">
        <is>
          <t xml:space="preserve">   - Pivot tables: Can be configured to handle or exclude duplicates</t>
        </is>
      </c>
    </row>
    <row r="32">
      <c r="A32" s="28" t="inlineStr">
        <is>
          <t xml:space="preserve">   - Manual analysis: Should identify and handle duplicates appropriately</t>
        </is>
      </c>
    </row>
    <row r="33">
      <c r="A33" s="0" t="inlineStr"/>
    </row>
    <row r="34">
      <c r="A34" s="27" t="inlineStr">
        <is>
          <t>5. OTHER DATA QUALITY ISSUES:</t>
        </is>
      </c>
    </row>
    <row r="35">
      <c r="A35" s="28" t="inlineStr">
        <is>
          <t xml:space="preserve">   - 1 row with missing Salesperson Name</t>
        </is>
      </c>
    </row>
    <row r="36">
      <c r="A36" s="28" t="inlineStr">
        <is>
          <t xml:space="preserve">   - Some Unit Price values stored as text instead of numbers</t>
        </is>
      </c>
    </row>
    <row r="37">
      <c r="A37" s="28" t="inlineStr">
        <is>
          <t xml:space="preserve">   - Order Date formatting may need standardization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13" customWidth="1" style="25" min="3" max="3"/>
    <col width="20.25" customWidth="1" style="25" min="5" max="5"/>
  </cols>
  <sheetData>
    <row r="1">
      <c r="A1" s="2" t="inlineStr">
        <is>
          <t>Order ID</t>
        </is>
      </c>
      <c r="B1" s="2" t="inlineStr">
        <is>
          <t>Order Date</t>
        </is>
      </c>
      <c r="C1" s="2" t="inlineStr">
        <is>
          <t>Customer Name</t>
        </is>
      </c>
      <c r="D1" s="2" t="inlineStr">
        <is>
          <t>Region</t>
        </is>
      </c>
      <c r="E1" s="2" t="inlineStr">
        <is>
          <t>Salesperson Name</t>
        </is>
      </c>
      <c r="F1" s="2" t="inlineStr">
        <is>
          <t>Product</t>
        </is>
      </c>
      <c r="G1" s="2" t="inlineStr">
        <is>
          <t>Quantity</t>
        </is>
      </c>
      <c r="H1" s="2" t="inlineStr">
        <is>
          <t>Unit Price</t>
        </is>
      </c>
      <c r="I1" s="2" t="inlineStr">
        <is>
          <t>Discount %</t>
        </is>
      </c>
      <c r="J1" s="2" t="inlineStr">
        <is>
          <t>Payment Status</t>
        </is>
      </c>
      <c r="K1" s="3" t="inlineStr">
        <is>
          <t>Net Revenue</t>
        </is>
      </c>
      <c r="L1" s="3" t="inlineStr">
        <is>
          <t>Revenue</t>
        </is>
      </c>
      <c r="M1" s="3" t="inlineStr">
        <is>
          <t>Month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27" t="inlineStr">
        <is>
          <t>Note</t>
        </is>
      </c>
    </row>
    <row r="2">
      <c r="A2" s="12" t="inlineStr">
        <is>
          <t>O001</t>
        </is>
      </c>
      <c r="B2" s="6" t="n">
        <v>45770</v>
      </c>
      <c r="C2" s="12" t="inlineStr">
        <is>
          <t>Megha S</t>
        </is>
      </c>
      <c r="D2" s="12" t="inlineStr">
        <is>
          <t>South</t>
        </is>
      </c>
      <c r="E2" s="12" t="inlineStr">
        <is>
          <t>Neha Sharma</t>
        </is>
      </c>
      <c r="F2" s="7" t="inlineStr">
        <is>
          <t>Printer</t>
        </is>
      </c>
      <c r="G2" s="13" t="n">
        <v>2</v>
      </c>
      <c r="H2" s="13" t="n">
        <v>12000</v>
      </c>
      <c r="I2" s="13" t="n">
        <v>5</v>
      </c>
      <c r="J2" s="12" t="inlineStr">
        <is>
          <t>Paid</t>
        </is>
      </c>
      <c r="K2" s="13">
        <f>IF(J2="Paid",G2*H2*(1-I2/100),"")</f>
        <v/>
      </c>
      <c r="L2" s="13">
        <f>G2*H2</f>
        <v/>
      </c>
      <c r="M2" s="13">
        <f>TEXT(B2,"MMMM")</f>
        <v/>
      </c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12" t="inlineStr">
        <is>
          <t>O002</t>
        </is>
      </c>
      <c r="B3" s="6" t="n">
        <v>45775</v>
      </c>
      <c r="C3" s="12" t="inlineStr">
        <is>
          <t>Naveen</t>
        </is>
      </c>
      <c r="D3" s="12" t="inlineStr">
        <is>
          <t>South</t>
        </is>
      </c>
      <c r="E3" s="12" t="inlineStr">
        <is>
          <t>RIYA GUPTA</t>
        </is>
      </c>
      <c r="F3" s="7" t="inlineStr">
        <is>
          <t>Office Chair</t>
        </is>
      </c>
      <c r="G3" s="13" t="n">
        <v>2</v>
      </c>
      <c r="H3" s="13" t="n">
        <v>7500</v>
      </c>
      <c r="I3" s="13" t="n">
        <v>6</v>
      </c>
      <c r="J3" s="12" t="inlineStr">
        <is>
          <t>Paid</t>
        </is>
      </c>
      <c r="K3" s="13">
        <f>IF(J3="Paid",G3*H3*(1-I3/100),"")</f>
        <v/>
      </c>
      <c r="L3" s="13">
        <f>G3*H3</f>
        <v/>
      </c>
      <c r="M3" s="13">
        <f>TEXT(B3,"MMMM")</f>
        <v/>
      </c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12" t="inlineStr">
        <is>
          <t>O003</t>
        </is>
      </c>
      <c r="B4" s="10" t="n">
        <v>45723</v>
      </c>
      <c r="C4" s="12" t="inlineStr">
        <is>
          <t>Sahil</t>
        </is>
      </c>
      <c r="D4" s="12" t="inlineStr">
        <is>
          <t>North</t>
        </is>
      </c>
      <c r="E4" s="12" t="inlineStr">
        <is>
          <t>srikanth verma</t>
        </is>
      </c>
      <c r="F4" s="7" t="inlineStr">
        <is>
          <t>Mobile</t>
        </is>
      </c>
      <c r="G4" s="13" t="n">
        <v>6</v>
      </c>
      <c r="H4" s="13" t="n">
        <v>18000</v>
      </c>
      <c r="I4" s="13" t="n">
        <v>8</v>
      </c>
      <c r="J4" s="12" t="inlineStr">
        <is>
          <t>Pending</t>
        </is>
      </c>
      <c r="K4" s="12">
        <f>IF(J4="Paid",G4*H4*(1-I4/100),"")</f>
        <v/>
      </c>
      <c r="L4" s="12">
        <f>G4*H4</f>
        <v/>
      </c>
      <c r="M4" s="13">
        <f>TEXT(B4,"MMMM")</f>
        <v/>
      </c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12" t="inlineStr">
        <is>
          <t>O004</t>
        </is>
      </c>
      <c r="B5" s="6" t="n">
        <v>45702</v>
      </c>
      <c r="C5" s="12" t="inlineStr">
        <is>
          <t>Maya</t>
        </is>
      </c>
      <c r="D5" s="12" t="inlineStr">
        <is>
          <t>West</t>
        </is>
      </c>
      <c r="E5" s="12" t="inlineStr">
        <is>
          <t>Neha Sharma</t>
        </is>
      </c>
      <c r="F5" s="7" t="inlineStr">
        <is>
          <t>Mobile</t>
        </is>
      </c>
      <c r="G5" s="13" t="n">
        <v>6</v>
      </c>
      <c r="H5" s="13" t="n">
        <v>18000</v>
      </c>
      <c r="I5" s="13" t="n">
        <v>8</v>
      </c>
      <c r="J5" s="12" t="inlineStr">
        <is>
          <t>Pending</t>
        </is>
      </c>
      <c r="K5" s="12">
        <f>IF(J5="Paid",G5*H5*(1-I5/100),"")</f>
        <v/>
      </c>
      <c r="L5" s="12">
        <f>G5*H5</f>
        <v/>
      </c>
      <c r="M5" s="13">
        <f>TEXT(B5,"MMMM")</f>
        <v/>
      </c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12" t="inlineStr">
        <is>
          <t>O005</t>
        </is>
      </c>
      <c r="B6" s="6" t="n">
        <v>45708</v>
      </c>
      <c r="C6" s="12" t="inlineStr">
        <is>
          <t>Ramesh K</t>
        </is>
      </c>
      <c r="D6" s="12" t="inlineStr">
        <is>
          <t>North</t>
        </is>
      </c>
      <c r="E6" s="12" t="inlineStr">
        <is>
          <t>Srikanth Verma</t>
        </is>
      </c>
      <c r="F6" s="7" t="inlineStr">
        <is>
          <t>Laptop</t>
        </is>
      </c>
      <c r="G6" s="13" t="n">
        <v>1</v>
      </c>
      <c r="H6" s="13" t="n">
        <v>55000</v>
      </c>
      <c r="I6" s="11" t="n">
        <v>0.08</v>
      </c>
      <c r="J6" s="12" t="inlineStr">
        <is>
          <t>Pending</t>
        </is>
      </c>
      <c r="K6" s="12">
        <f>IF(J6="Paid",G6*H6*(1-I6/100),"")</f>
        <v/>
      </c>
      <c r="L6" s="12">
        <f>G6*H6</f>
        <v/>
      </c>
      <c r="M6" s="13">
        <f>TEXT(B6,"MMMM")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12" t="inlineStr">
        <is>
          <t>O006</t>
        </is>
      </c>
      <c r="B7" s="10" t="n">
        <v>45719</v>
      </c>
      <c r="C7" s="12" t="inlineStr">
        <is>
          <t>Arjun Reddy</t>
        </is>
      </c>
      <c r="D7" s="12" t="inlineStr">
        <is>
          <t>East</t>
        </is>
      </c>
      <c r="E7" s="12" t="inlineStr">
        <is>
          <t>Anita Joseph</t>
        </is>
      </c>
      <c r="F7" s="7" t="inlineStr">
        <is>
          <t>Laptop</t>
        </is>
      </c>
      <c r="G7" s="13" t="n">
        <v>2</v>
      </c>
      <c r="H7" s="13" t="n">
        <v>55000</v>
      </c>
      <c r="I7" s="13" t="n">
        <v>6</v>
      </c>
      <c r="J7" s="12" t="inlineStr">
        <is>
          <t>Paid</t>
        </is>
      </c>
      <c r="K7" s="13">
        <f>IF(J7="Paid",G7*H7*(1-I7/100),"")</f>
        <v/>
      </c>
      <c r="L7" s="13">
        <f>G7*H7</f>
        <v/>
      </c>
      <c r="M7" s="13">
        <f>TEXT(B7,"MMMM")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12" t="inlineStr">
        <is>
          <t>O007</t>
        </is>
      </c>
      <c r="B8" s="6" t="n">
        <v>45758</v>
      </c>
      <c r="C8" s="12" t="inlineStr">
        <is>
          <t>Priya</t>
        </is>
      </c>
      <c r="D8" s="12" t="inlineStr">
        <is>
          <t>West</t>
        </is>
      </c>
      <c r="E8" s="12" t="inlineStr">
        <is>
          <t>RAHUL NAIR</t>
        </is>
      </c>
      <c r="F8" s="7" t="inlineStr">
        <is>
          <t>Printer</t>
        </is>
      </c>
      <c r="G8" s="13" t="n">
        <v>3</v>
      </c>
      <c r="H8" s="13" t="n">
        <v>12000</v>
      </c>
      <c r="I8" s="13" t="n">
        <v>5</v>
      </c>
      <c r="J8" s="12" t="inlineStr">
        <is>
          <t>Paid</t>
        </is>
      </c>
      <c r="K8" s="13">
        <f>IF(J8="Paid",G8*H8*(1-I8/100),"")</f>
        <v/>
      </c>
      <c r="L8" s="13">
        <f>G8*H8</f>
        <v/>
      </c>
      <c r="M8" s="13">
        <f>TEXT(B8,"MMMM")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12" t="inlineStr">
        <is>
          <t>O008</t>
        </is>
      </c>
      <c r="B9" s="6" t="n">
        <v>45735</v>
      </c>
      <c r="C9" s="12" t="inlineStr">
        <is>
          <t>Deepa Menon</t>
        </is>
      </c>
      <c r="D9" s="12" t="inlineStr">
        <is>
          <t>South</t>
        </is>
      </c>
      <c r="E9" s="12" t="inlineStr">
        <is>
          <t>Neha Sharma</t>
        </is>
      </c>
      <c r="F9" s="7" t="inlineStr">
        <is>
          <t>Mobile</t>
        </is>
      </c>
      <c r="G9" s="13" t="n">
        <v>4</v>
      </c>
      <c r="H9" s="13" t="n">
        <v>18000</v>
      </c>
      <c r="I9" s="13" t="n">
        <v>7</v>
      </c>
      <c r="J9" s="12" t="inlineStr">
        <is>
          <t>Paid</t>
        </is>
      </c>
      <c r="K9" s="13">
        <f>IF(J9="Paid",G9*H9*(1-I9/100),"")</f>
        <v/>
      </c>
      <c r="L9" s="13">
        <f>G9*H9</f>
        <v/>
      </c>
      <c r="M9" s="13">
        <f>TEXT(B9,"MMMM")</f>
        <v/>
      </c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12" t="inlineStr">
        <is>
          <t>O009</t>
        </is>
      </c>
      <c r="B10" s="6" t="n">
        <v>45713</v>
      </c>
      <c r="C10" s="12" t="inlineStr">
        <is>
          <t>Manju S</t>
        </is>
      </c>
      <c r="D10" s="12" t="inlineStr">
        <is>
          <t>East</t>
        </is>
      </c>
      <c r="E10" s="12" t="n"/>
      <c r="F10" s="7" t="inlineStr">
        <is>
          <t>Laptop</t>
        </is>
      </c>
      <c r="G10" s="13" t="n">
        <v>3</v>
      </c>
      <c r="H10" s="13" t="n">
        <v>55000</v>
      </c>
      <c r="I10" s="13" t="n">
        <v>5</v>
      </c>
      <c r="J10" s="12" t="inlineStr">
        <is>
          <t>Unpaid</t>
        </is>
      </c>
      <c r="K10" s="12">
        <f>IF(J10="Paid",G10*H10*(1-I10/100),"")</f>
        <v/>
      </c>
      <c r="L10" s="12">
        <f>G10*H10</f>
        <v/>
      </c>
      <c r="M10" s="13">
        <f>TEXT(B10,"MMMM")</f>
        <v/>
      </c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12" t="inlineStr">
        <is>
          <t>O010</t>
        </is>
      </c>
      <c r="B11" s="10" t="n">
        <v>45695</v>
      </c>
      <c r="C11" s="12" t="inlineStr">
        <is>
          <t>Anita Joseph</t>
        </is>
      </c>
      <c r="D11" s="12" t="inlineStr">
        <is>
          <t>South</t>
        </is>
      </c>
      <c r="E11" s="12" t="inlineStr">
        <is>
          <t>Anita Joseph</t>
        </is>
      </c>
      <c r="F11" s="7" t="inlineStr">
        <is>
          <t>Office Chair</t>
        </is>
      </c>
      <c r="G11" s="13" t="n">
        <v>2</v>
      </c>
      <c r="H11" s="13" t="n">
        <v>7500</v>
      </c>
      <c r="I11" s="13" t="n">
        <v>8</v>
      </c>
      <c r="J11" s="12" t="inlineStr">
        <is>
          <t>Paid</t>
        </is>
      </c>
      <c r="K11" s="13">
        <f>IF(J11="Paid",G11*H11*(1-I11/100),"")</f>
        <v/>
      </c>
      <c r="L11" s="13">
        <f>G11*H11</f>
        <v/>
      </c>
      <c r="M11" s="13">
        <f>TEXT(B11,"MMMM")</f>
        <v/>
      </c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12" t="inlineStr">
        <is>
          <t>O011</t>
        </is>
      </c>
      <c r="B12" s="10" t="n">
        <v>45750</v>
      </c>
      <c r="C12" s="12" t="inlineStr">
        <is>
          <t>Kamal</t>
        </is>
      </c>
      <c r="D12" s="12" t="inlineStr">
        <is>
          <t>North</t>
        </is>
      </c>
      <c r="E12" s="12" t="inlineStr">
        <is>
          <t>Neha Sharma</t>
        </is>
      </c>
      <c r="F12" s="7" t="inlineStr">
        <is>
          <t>Desk</t>
        </is>
      </c>
      <c r="G12" s="13" t="n">
        <v>1</v>
      </c>
      <c r="H12" s="13" t="n">
        <v>9500</v>
      </c>
      <c r="I12" s="13" t="n">
        <v>3</v>
      </c>
      <c r="J12" s="12" t="inlineStr">
        <is>
          <t>Paid</t>
        </is>
      </c>
      <c r="K12" s="13">
        <f>IF(J12="Paid",G12*H12*(1-I12/100),"")</f>
        <v/>
      </c>
      <c r="L12" s="13">
        <f>G12*H12</f>
        <v/>
      </c>
      <c r="M12" s="13">
        <f>TEXT(B12,"MMMM")</f>
        <v/>
      </c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12" t="inlineStr">
        <is>
          <t>O012</t>
        </is>
      </c>
      <c r="B13" s="6" t="n">
        <v>45705</v>
      </c>
      <c r="C13" s="12" t="inlineStr">
        <is>
          <t>Sunil</t>
        </is>
      </c>
      <c r="D13" s="12" t="inlineStr">
        <is>
          <t>West</t>
        </is>
      </c>
      <c r="E13" s="12" t="inlineStr">
        <is>
          <t>Rahul Nair</t>
        </is>
      </c>
      <c r="F13" s="7" t="inlineStr">
        <is>
          <t>Printer</t>
        </is>
      </c>
      <c r="G13" s="13" t="n">
        <v>1</v>
      </c>
      <c r="H13" s="13" t="n">
        <v>12000</v>
      </c>
      <c r="I13" s="13" t="n">
        <v>4</v>
      </c>
      <c r="J13" s="12" t="inlineStr">
        <is>
          <t>Paid</t>
        </is>
      </c>
      <c r="K13" s="13">
        <f>IF(J13="Paid",G13*H13*(1-I13/100),"")</f>
        <v/>
      </c>
      <c r="L13" s="13">
        <f>G13*H13</f>
        <v/>
      </c>
      <c r="M13" s="13">
        <f>TEXT(B13,"MMMM")</f>
        <v/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12" t="inlineStr">
        <is>
          <t>O013</t>
        </is>
      </c>
      <c r="B14" s="10" t="n">
        <v>45718</v>
      </c>
      <c r="C14" s="12" t="inlineStr">
        <is>
          <t>Aditya</t>
        </is>
      </c>
      <c r="D14" s="12" t="inlineStr">
        <is>
          <t>East</t>
        </is>
      </c>
      <c r="E14" s="12" t="inlineStr">
        <is>
          <t>Neha Sharma</t>
        </is>
      </c>
      <c r="F14" s="7" t="inlineStr">
        <is>
          <t>Mobile</t>
        </is>
      </c>
      <c r="G14" s="13" t="n">
        <v>6</v>
      </c>
      <c r="H14" s="13" t="n">
        <v>18000</v>
      </c>
      <c r="I14" s="13" t="n">
        <v>8</v>
      </c>
      <c r="J14" s="12" t="inlineStr">
        <is>
          <t>Paid</t>
        </is>
      </c>
      <c r="K14" s="13">
        <f>IF(J14="Paid",G14*H14*(1-I14/100),"")</f>
        <v/>
      </c>
      <c r="L14" s="13">
        <f>G14*H14</f>
        <v/>
      </c>
      <c r="M14" s="13">
        <f>TEXT(B14,"MMMM")</f>
        <v/>
      </c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12" t="inlineStr">
        <is>
          <t>O014</t>
        </is>
      </c>
      <c r="B15" s="6" t="n">
        <v>45760</v>
      </c>
      <c r="C15" s="12" t="inlineStr">
        <is>
          <t>Priya</t>
        </is>
      </c>
      <c r="D15" s="12" t="inlineStr">
        <is>
          <t>West</t>
        </is>
      </c>
      <c r="E15" s="12" t="inlineStr">
        <is>
          <t>Neha Sharma</t>
        </is>
      </c>
      <c r="F15" s="7" t="inlineStr">
        <is>
          <t>Mobile</t>
        </is>
      </c>
      <c r="G15" s="13" t="n">
        <v>5</v>
      </c>
      <c r="H15" s="13" t="n">
        <v>18000</v>
      </c>
      <c r="I15" s="13" t="n">
        <v>0</v>
      </c>
      <c r="J15" s="12" t="inlineStr">
        <is>
          <t>Paid</t>
        </is>
      </c>
      <c r="K15" s="13">
        <f>IF(J15="Paid",G15*H15*(1-I15/100),"")</f>
        <v/>
      </c>
      <c r="L15" s="13">
        <f>G15*H15</f>
        <v/>
      </c>
      <c r="M15" s="13">
        <f>TEXT(B15,"MMMM")</f>
        <v/>
      </c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12" t="inlineStr">
        <is>
          <t>O015</t>
        </is>
      </c>
      <c r="B16" s="10" t="n">
        <v>45724</v>
      </c>
      <c r="C16" s="12" t="inlineStr">
        <is>
          <t>Suresh</t>
        </is>
      </c>
      <c r="D16" s="12" t="inlineStr">
        <is>
          <t>South</t>
        </is>
      </c>
      <c r="E16" s="12" t="inlineStr">
        <is>
          <t>RAHUL NAIR</t>
        </is>
      </c>
      <c r="F16" s="7" t="inlineStr">
        <is>
          <t>Laptop</t>
        </is>
      </c>
      <c r="G16" s="13" t="n">
        <v>1</v>
      </c>
      <c r="H16" s="13" t="n">
        <v>55000</v>
      </c>
      <c r="I16" s="13" t="n">
        <v>7</v>
      </c>
      <c r="J16" s="12" t="inlineStr">
        <is>
          <t>Paid</t>
        </is>
      </c>
      <c r="K16" s="13">
        <f>IF(J16="Paid",G16*H16*(1-I16/100),"")</f>
        <v/>
      </c>
      <c r="L16" s="13">
        <f>G16*H16</f>
        <v/>
      </c>
      <c r="M16" s="13">
        <f>TEXT(B16,"MMMM")</f>
        <v/>
      </c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12" t="inlineStr">
        <is>
          <t>O016</t>
        </is>
      </c>
      <c r="B17" s="6" t="n">
        <v>45709</v>
      </c>
      <c r="C17" s="12" t="inlineStr">
        <is>
          <t>Ritu</t>
        </is>
      </c>
      <c r="D17" s="12" t="inlineStr">
        <is>
          <t>North</t>
        </is>
      </c>
      <c r="E17" s="12" t="inlineStr">
        <is>
          <t>RIYA GUPTA</t>
        </is>
      </c>
      <c r="F17" s="7" t="inlineStr">
        <is>
          <t>Office Chair</t>
        </is>
      </c>
      <c r="G17" s="13" t="n">
        <v>3</v>
      </c>
      <c r="H17" s="13" t="n">
        <v>7500</v>
      </c>
      <c r="I17" s="13" t="n">
        <v>5</v>
      </c>
      <c r="J17" s="12" t="inlineStr">
        <is>
          <t>Paid</t>
        </is>
      </c>
      <c r="K17" s="13">
        <f>IF(J17="Paid",G17*H17*(1-I17/100),"")</f>
        <v/>
      </c>
      <c r="L17" s="13">
        <f>G17*H17</f>
        <v/>
      </c>
      <c r="M17" s="13">
        <f>TEXT(B17,"MMMM")</f>
        <v/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12" t="inlineStr">
        <is>
          <t>O017</t>
        </is>
      </c>
      <c r="B18" s="6" t="n">
        <v>45745</v>
      </c>
      <c r="C18" s="12" t="inlineStr">
        <is>
          <t>Kishore</t>
        </is>
      </c>
      <c r="D18" s="12" t="inlineStr">
        <is>
          <t>East</t>
        </is>
      </c>
      <c r="E18" s="12" t="inlineStr">
        <is>
          <t>srikanth verma</t>
        </is>
      </c>
      <c r="F18" s="7" t="inlineStr">
        <is>
          <t>Desk</t>
        </is>
      </c>
      <c r="G18" s="13" t="n">
        <v>2</v>
      </c>
      <c r="H18" s="13" t="n">
        <v>9500</v>
      </c>
      <c r="I18" s="13" t="n">
        <v>6</v>
      </c>
      <c r="J18" s="12" t="inlineStr">
        <is>
          <t>Paid</t>
        </is>
      </c>
      <c r="K18" s="13">
        <f>IF(J18="Paid",G18*H18*(1-I18/100),"")</f>
        <v/>
      </c>
      <c r="L18" s="13">
        <f>G18*H18</f>
        <v/>
      </c>
      <c r="M18" s="13">
        <f>TEXT(B18,"MMMM")</f>
        <v/>
      </c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12" t="inlineStr">
        <is>
          <t>O018</t>
        </is>
      </c>
      <c r="B19" s="10" t="n">
        <v>45749</v>
      </c>
      <c r="C19" s="12" t="inlineStr">
        <is>
          <t>Arun Kumar</t>
        </is>
      </c>
      <c r="D19" s="12" t="inlineStr">
        <is>
          <t>West</t>
        </is>
      </c>
      <c r="E19" s="12" t="inlineStr">
        <is>
          <t>Neha Sharma</t>
        </is>
      </c>
      <c r="F19" s="7" t="inlineStr">
        <is>
          <t>Laptop</t>
        </is>
      </c>
      <c r="G19" s="13" t="n">
        <v>7</v>
      </c>
      <c r="H19" s="13" t="n">
        <v>55000</v>
      </c>
      <c r="I19" s="13" t="n">
        <v>1</v>
      </c>
      <c r="J19" s="12" t="inlineStr">
        <is>
          <t>Unpaid</t>
        </is>
      </c>
      <c r="K19" s="12">
        <f>IF(J19="Paid",G19*H19*(1-I19/100),"")</f>
        <v/>
      </c>
      <c r="L19" s="12">
        <f>G19*H19</f>
        <v/>
      </c>
      <c r="M19" s="13">
        <f>TEXT(B19,"MMMM")</f>
        <v/>
      </c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12" t="inlineStr">
        <is>
          <t>O019</t>
        </is>
      </c>
      <c r="B20" s="10" t="n">
        <v>45721</v>
      </c>
      <c r="C20" s="12" t="inlineStr">
        <is>
          <t>Tanvi</t>
        </is>
      </c>
      <c r="D20" s="12" t="inlineStr">
        <is>
          <t>South</t>
        </is>
      </c>
      <c r="E20" s="12" t="inlineStr">
        <is>
          <t>ANITA JOSEPH</t>
        </is>
      </c>
      <c r="F20" s="7" t="inlineStr">
        <is>
          <t>Printer</t>
        </is>
      </c>
      <c r="G20" s="13" t="n">
        <v>2</v>
      </c>
      <c r="H20" s="13" t="n">
        <v>12000</v>
      </c>
      <c r="I20" s="13" t="n">
        <v>5</v>
      </c>
      <c r="J20" s="12" t="inlineStr">
        <is>
          <t>Paid</t>
        </is>
      </c>
      <c r="K20" s="13">
        <f>IF(J20="Paid",G20*H20*(1-I20/100),"")</f>
        <v/>
      </c>
      <c r="L20" s="13">
        <f>G20*H20</f>
        <v/>
      </c>
      <c r="M20" s="13">
        <f>TEXT(B20,"MMMM")</f>
        <v/>
      </c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12" t="inlineStr">
        <is>
          <t>O020</t>
        </is>
      </c>
      <c r="B21" s="6" t="n">
        <v>45759</v>
      </c>
      <c r="C21" s="12" t="inlineStr">
        <is>
          <t>Gita</t>
        </is>
      </c>
      <c r="D21" s="12" t="inlineStr">
        <is>
          <t>North</t>
        </is>
      </c>
      <c r="E21" s="12" t="inlineStr">
        <is>
          <t>Rahul Nair</t>
        </is>
      </c>
      <c r="F21" s="7" t="inlineStr">
        <is>
          <t>Mobile</t>
        </is>
      </c>
      <c r="G21" s="13" t="n">
        <v>4</v>
      </c>
      <c r="H21" s="13" t="n">
        <v>18000</v>
      </c>
      <c r="I21" s="13" t="n">
        <v>8</v>
      </c>
      <c r="J21" s="12" t="inlineStr">
        <is>
          <t>Paid</t>
        </is>
      </c>
      <c r="K21" s="13">
        <f>IF(J21="Paid",G21*H21*(1-I21/100),"")</f>
        <v/>
      </c>
      <c r="L21" s="13">
        <f>G21*H21</f>
        <v/>
      </c>
      <c r="M21" s="13">
        <f>TEXT(B21,"MMMM")</f>
        <v/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12" t="inlineStr">
        <is>
          <t>O021</t>
        </is>
      </c>
      <c r="B22" s="6" t="n">
        <v>45712</v>
      </c>
      <c r="C22" s="12" t="inlineStr">
        <is>
          <t>Neetu</t>
        </is>
      </c>
      <c r="D22" s="12" t="inlineStr">
        <is>
          <t>South</t>
        </is>
      </c>
      <c r="E22" s="12" t="inlineStr">
        <is>
          <t>Neha Sharma</t>
        </is>
      </c>
      <c r="F22" s="7" t="inlineStr">
        <is>
          <t>Desk</t>
        </is>
      </c>
      <c r="G22" s="13" t="n">
        <v>3</v>
      </c>
      <c r="H22" s="13" t="n">
        <v>9500</v>
      </c>
      <c r="I22" s="13" t="n">
        <v>6</v>
      </c>
      <c r="J22" s="12" t="inlineStr">
        <is>
          <t>Paid</t>
        </is>
      </c>
      <c r="K22" s="13">
        <f>IF(J22="Paid",G22*H22*(1-I22/100),"")</f>
        <v/>
      </c>
      <c r="L22" s="13">
        <f>G22*H22</f>
        <v/>
      </c>
      <c r="M22" s="13">
        <f>TEXT(B22,"MMMM")</f>
        <v/>
      </c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12" t="inlineStr">
        <is>
          <t>O022</t>
        </is>
      </c>
      <c r="B23" s="10" t="n">
        <v>45725</v>
      </c>
      <c r="C23" s="12" t="inlineStr">
        <is>
          <t>Rohit</t>
        </is>
      </c>
      <c r="D23" s="12" t="inlineStr">
        <is>
          <t>West</t>
        </is>
      </c>
      <c r="E23" s="12" t="inlineStr">
        <is>
          <t>RIYA GUPTA</t>
        </is>
      </c>
      <c r="F23" s="7" t="inlineStr">
        <is>
          <t>Office Chair</t>
        </is>
      </c>
      <c r="G23" s="13" t="n">
        <v>4</v>
      </c>
      <c r="H23" s="13" t="n">
        <v>7500</v>
      </c>
      <c r="I23" s="13" t="n">
        <v>4</v>
      </c>
      <c r="J23" s="12" t="inlineStr">
        <is>
          <t>Pending</t>
        </is>
      </c>
      <c r="K23" s="12">
        <f>IF(J23="Paid",G23*H23*(1-I23/100),"")</f>
        <v/>
      </c>
      <c r="L23" s="12">
        <f>G23*H23</f>
        <v/>
      </c>
      <c r="M23" s="13">
        <f>TEXT(B23,"MMMM")</f>
        <v/>
      </c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12" t="inlineStr">
        <is>
          <t>O023</t>
        </is>
      </c>
      <c r="B24" s="6" t="n">
        <v>45762</v>
      </c>
      <c r="C24" s="12" t="inlineStr">
        <is>
          <t>Kiran</t>
        </is>
      </c>
      <c r="D24" s="12" t="inlineStr">
        <is>
          <t>East</t>
        </is>
      </c>
      <c r="E24" s="12" t="inlineStr">
        <is>
          <t>Neha Sharma</t>
        </is>
      </c>
      <c r="F24" s="7" t="inlineStr">
        <is>
          <t>Printer</t>
        </is>
      </c>
      <c r="G24" s="13" t="n">
        <v>2</v>
      </c>
      <c r="H24" s="13" t="n">
        <v>12000</v>
      </c>
      <c r="I24" s="13" t="n">
        <v>5</v>
      </c>
      <c r="J24" s="12" t="inlineStr">
        <is>
          <t>Paid</t>
        </is>
      </c>
      <c r="K24" s="13">
        <f>IF(J24="Paid",G24*H24*(1-I24/100),"")</f>
        <v/>
      </c>
      <c r="L24" s="13">
        <f>G24*H24</f>
        <v/>
      </c>
      <c r="M24" s="13">
        <f>TEXT(B24,"MMMM")</f>
        <v/>
      </c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12" t="inlineStr">
        <is>
          <t>O024</t>
        </is>
      </c>
      <c r="B25" s="6" t="n">
        <v>45706</v>
      </c>
      <c r="C25" s="12" t="inlineStr">
        <is>
          <t>Dinesh</t>
        </is>
      </c>
      <c r="D25" s="12" t="inlineStr">
        <is>
          <t>South</t>
        </is>
      </c>
      <c r="E25" s="12" t="inlineStr">
        <is>
          <t>Anita Joseph</t>
        </is>
      </c>
      <c r="F25" s="7" t="inlineStr">
        <is>
          <t>Mobile</t>
        </is>
      </c>
      <c r="G25" s="13" t="n">
        <v>3</v>
      </c>
      <c r="H25" s="13" t="n">
        <v>18000</v>
      </c>
      <c r="I25" s="13" t="n">
        <v>6</v>
      </c>
      <c r="J25" s="12" t="inlineStr">
        <is>
          <t>Paid</t>
        </is>
      </c>
      <c r="K25" s="13">
        <f>IF(J25="Paid",G25*H25*(1-I25/100),"")</f>
        <v/>
      </c>
      <c r="L25" s="13">
        <f>G25*H25</f>
        <v/>
      </c>
      <c r="M25" s="13">
        <f>TEXT(B25,"MMMM")</f>
        <v/>
      </c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12" t="inlineStr">
        <is>
          <t>O025</t>
        </is>
      </c>
      <c r="B26" s="6" t="n">
        <v>45767</v>
      </c>
      <c r="C26" s="12" t="inlineStr">
        <is>
          <t>Sakshi</t>
        </is>
      </c>
      <c r="D26" s="12" t="inlineStr">
        <is>
          <t>North</t>
        </is>
      </c>
      <c r="E26" s="12" t="inlineStr">
        <is>
          <t>RAHUL NAIR</t>
        </is>
      </c>
      <c r="F26" s="7" t="inlineStr">
        <is>
          <t>Desk</t>
        </is>
      </c>
      <c r="G26" s="13" t="n">
        <v>5</v>
      </c>
      <c r="H26" s="13" t="n">
        <v>9500</v>
      </c>
      <c r="I26" s="13" t="n">
        <v>2</v>
      </c>
      <c r="J26" s="12" t="inlineStr">
        <is>
          <t>Unpaid</t>
        </is>
      </c>
      <c r="K26" s="12">
        <f>IF(J26="Paid",G26*H26*(1-I26/100),"")</f>
        <v/>
      </c>
      <c r="L26" s="12">
        <f>G26*H26</f>
        <v/>
      </c>
      <c r="M26" s="13">
        <f>TEXT(B26,"MMMM")</f>
        <v/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12" t="inlineStr">
        <is>
          <t>O026</t>
        </is>
      </c>
      <c r="B27" s="10" t="n">
        <v>45717</v>
      </c>
      <c r="C27" s="12" t="inlineStr">
        <is>
          <t>Vagdevi</t>
        </is>
      </c>
      <c r="D27" s="12" t="inlineStr">
        <is>
          <t>West</t>
        </is>
      </c>
      <c r="E27" s="12" t="inlineStr">
        <is>
          <t>Neha Sharma</t>
        </is>
      </c>
      <c r="F27" s="7" t="inlineStr">
        <is>
          <t>Laptop</t>
        </is>
      </c>
      <c r="G27" s="13" t="n">
        <v>1</v>
      </c>
      <c r="H27" s="13" t="n">
        <v>55000</v>
      </c>
      <c r="I27" s="13" t="n">
        <v>5</v>
      </c>
      <c r="J27" s="12" t="inlineStr">
        <is>
          <t>Paid</t>
        </is>
      </c>
      <c r="K27" s="13">
        <f>IF(J27="Paid",G27*H27*(1-I27/100),"")</f>
        <v/>
      </c>
      <c r="L27" s="13">
        <f>G27*H27</f>
        <v/>
      </c>
      <c r="M27" s="13">
        <f>TEXT(B27,"MMMM")</f>
        <v/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12" t="inlineStr">
        <is>
          <t>O027</t>
        </is>
      </c>
      <c r="B28" s="6" t="n">
        <v>45699</v>
      </c>
      <c r="C28" s="12" t="inlineStr">
        <is>
          <t>Mahesh</t>
        </is>
      </c>
      <c r="D28" s="12" t="inlineStr">
        <is>
          <t>East</t>
        </is>
      </c>
      <c r="E28" s="12" t="inlineStr">
        <is>
          <t>srikanth verma</t>
        </is>
      </c>
      <c r="F28" s="7" t="inlineStr">
        <is>
          <t>Desk</t>
        </is>
      </c>
      <c r="G28" s="13" t="n">
        <v>2</v>
      </c>
      <c r="H28" s="13" t="n">
        <v>9500</v>
      </c>
      <c r="I28" s="13" t="n">
        <v>6</v>
      </c>
      <c r="J28" s="12" t="inlineStr">
        <is>
          <t>Paid</t>
        </is>
      </c>
      <c r="K28" s="13">
        <f>IF(J28="Paid",G28*H28*(1-I28/100),"")</f>
        <v/>
      </c>
      <c r="L28" s="13">
        <f>G28*H28</f>
        <v/>
      </c>
      <c r="M28" s="13">
        <f>TEXT(B28,"MMMM")</f>
        <v/>
      </c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12" t="inlineStr">
        <is>
          <t>O028</t>
        </is>
      </c>
      <c r="B29" s="10" t="n">
        <v>45751</v>
      </c>
      <c r="C29" s="12" t="inlineStr">
        <is>
          <t>Shalini S</t>
        </is>
      </c>
      <c r="D29" s="12" t="inlineStr">
        <is>
          <t>South</t>
        </is>
      </c>
      <c r="E29" s="12" t="inlineStr">
        <is>
          <t>ANITA JOSEPH</t>
        </is>
      </c>
      <c r="F29" s="7" t="inlineStr">
        <is>
          <t>Printer</t>
        </is>
      </c>
      <c r="G29" s="13" t="n">
        <v>3</v>
      </c>
      <c r="H29" s="13" t="n">
        <v>12000</v>
      </c>
      <c r="I29" s="13" t="n">
        <v>5</v>
      </c>
      <c r="J29" s="12" t="inlineStr">
        <is>
          <t>Paid</t>
        </is>
      </c>
      <c r="K29" s="13">
        <f>IF(J29="Paid",G29*H29*(1-I29/100),"")</f>
        <v/>
      </c>
      <c r="L29" s="13">
        <f>G29*H29</f>
        <v/>
      </c>
      <c r="M29" s="13">
        <f>TEXT(B29,"MMMM")</f>
        <v/>
      </c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12" t="inlineStr">
        <is>
          <t>O029</t>
        </is>
      </c>
      <c r="B30" s="6" t="n">
        <v>45730</v>
      </c>
      <c r="C30" s="12" t="inlineStr">
        <is>
          <t>Neha</t>
        </is>
      </c>
      <c r="D30" s="12" t="inlineStr">
        <is>
          <t>North</t>
        </is>
      </c>
      <c r="E30" s="12" t="inlineStr">
        <is>
          <t>RAHUL NAIR</t>
        </is>
      </c>
      <c r="F30" s="7" t="inlineStr">
        <is>
          <t>Mobile</t>
        </is>
      </c>
      <c r="G30" s="13" t="n">
        <v>7</v>
      </c>
      <c r="H30" s="13" t="n">
        <v>18000</v>
      </c>
      <c r="I30" s="13" t="n">
        <v>4</v>
      </c>
      <c r="J30" s="12" t="inlineStr">
        <is>
          <t>Paid</t>
        </is>
      </c>
      <c r="K30" s="13">
        <f>IF(J30="Paid",G30*H30*(1-I30/100),"")</f>
        <v/>
      </c>
      <c r="L30" s="13">
        <f>G30*H30</f>
        <v/>
      </c>
      <c r="M30" s="13">
        <f>TEXT(B30,"MMMM")</f>
        <v/>
      </c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12" t="inlineStr">
        <is>
          <t>O030</t>
        </is>
      </c>
      <c r="B31" s="6" t="n">
        <v>45715</v>
      </c>
      <c r="C31" s="12" t="inlineStr">
        <is>
          <t>Bhavana</t>
        </is>
      </c>
      <c r="D31" s="12" t="inlineStr">
        <is>
          <t>West</t>
        </is>
      </c>
      <c r="E31" s="12" t="inlineStr">
        <is>
          <t>Neha Sharma</t>
        </is>
      </c>
      <c r="F31" s="7" t="inlineStr">
        <is>
          <t>Office Chair</t>
        </is>
      </c>
      <c r="G31" s="13" t="n">
        <v>2</v>
      </c>
      <c r="H31" s="13" t="n">
        <v>7500</v>
      </c>
      <c r="I31" s="13" t="n">
        <v>6</v>
      </c>
      <c r="J31" s="12" t="inlineStr">
        <is>
          <t>Paid</t>
        </is>
      </c>
      <c r="K31" s="13">
        <f>IF(J31="Paid",G31*H31*(1-I31/100),"")</f>
        <v/>
      </c>
      <c r="L31" s="13">
        <f>G31*H31</f>
        <v/>
      </c>
      <c r="M31" s="13">
        <f>TEXT(B31,"MMMM")</f>
        <v/>
      </c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12" t="inlineStr">
        <is>
          <t>O031</t>
        </is>
      </c>
      <c r="B32" s="6" t="n">
        <v>45746</v>
      </c>
      <c r="C32" s="12" t="inlineStr">
        <is>
          <t>Ramesh</t>
        </is>
      </c>
      <c r="D32" s="12" t="inlineStr">
        <is>
          <t>South</t>
        </is>
      </c>
      <c r="E32" s="12" t="inlineStr">
        <is>
          <t>RAHUL NAIR</t>
        </is>
      </c>
      <c r="F32" s="7" t="inlineStr">
        <is>
          <t>Laptop</t>
        </is>
      </c>
      <c r="G32" s="13" t="n">
        <v>2</v>
      </c>
      <c r="H32" s="13" t="n">
        <v>55000</v>
      </c>
      <c r="I32" s="13" t="n">
        <v>6</v>
      </c>
      <c r="J32" s="12" t="inlineStr">
        <is>
          <t>Paid</t>
        </is>
      </c>
      <c r="K32" s="13">
        <f>IF(J32="Paid",G32*H32*(1-I32/100),"")</f>
        <v/>
      </c>
      <c r="L32" s="13">
        <f>G32*H32</f>
        <v/>
      </c>
      <c r="M32" s="13">
        <f>TEXT(B32,"MMMM")</f>
        <v/>
      </c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12" t="inlineStr">
        <is>
          <t>O032</t>
        </is>
      </c>
      <c r="B33" s="10" t="n">
        <v>45694</v>
      </c>
      <c r="C33" s="12" t="inlineStr">
        <is>
          <t>Arun K</t>
        </is>
      </c>
      <c r="D33" s="12" t="inlineStr">
        <is>
          <t>East</t>
        </is>
      </c>
      <c r="E33" s="12" t="inlineStr">
        <is>
          <t>RIYA GUPTA</t>
        </is>
      </c>
      <c r="F33" s="7" t="inlineStr">
        <is>
          <t>Printer</t>
        </is>
      </c>
      <c r="G33" s="13" t="n">
        <v>1</v>
      </c>
      <c r="H33" s="13" t="n">
        <v>12000</v>
      </c>
      <c r="I33" s="13" t="n">
        <v>3</v>
      </c>
      <c r="J33" s="12" t="inlineStr">
        <is>
          <t>Paid</t>
        </is>
      </c>
      <c r="K33" s="13">
        <f>IF(J33="Paid",G33*H33*(1-I33/100),"")</f>
        <v/>
      </c>
      <c r="L33" s="13">
        <f>G33*H33</f>
        <v/>
      </c>
      <c r="M33" s="13">
        <f>TEXT(B33,"MMMM")</f>
        <v/>
      </c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12" t="inlineStr">
        <is>
          <t>O033</t>
        </is>
      </c>
      <c r="B34" s="6" t="n">
        <v>45738</v>
      </c>
      <c r="C34" s="12" t="inlineStr">
        <is>
          <t>Sameer</t>
        </is>
      </c>
      <c r="D34" s="12" t="inlineStr">
        <is>
          <t>West</t>
        </is>
      </c>
      <c r="E34" s="12" t="inlineStr">
        <is>
          <t>Neha Sharma</t>
        </is>
      </c>
      <c r="F34" s="7" t="inlineStr">
        <is>
          <t>Mobile</t>
        </is>
      </c>
      <c r="G34" s="13" t="n">
        <v>3</v>
      </c>
      <c r="H34" s="13" t="n">
        <v>18000</v>
      </c>
      <c r="I34" s="13" t="n">
        <v>5</v>
      </c>
      <c r="J34" s="12" t="inlineStr">
        <is>
          <t>Paid</t>
        </is>
      </c>
      <c r="K34" s="13">
        <f>IF(J34="Paid",G34*H34*(1-I34/100),"")</f>
        <v/>
      </c>
      <c r="L34" s="13">
        <f>G34*H34</f>
        <v/>
      </c>
      <c r="M34" s="13">
        <f>TEXT(B34,"MMMM")</f>
        <v/>
      </c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12" t="inlineStr">
        <is>
          <t>O034</t>
        </is>
      </c>
      <c r="B35" s="6" t="n">
        <v>45757</v>
      </c>
      <c r="C35" s="12" t="inlineStr">
        <is>
          <t>Asha</t>
        </is>
      </c>
      <c r="D35" s="12" t="inlineStr">
        <is>
          <t>South</t>
        </is>
      </c>
      <c r="E35" s="12" t="inlineStr">
        <is>
          <t>Anita Joseph</t>
        </is>
      </c>
      <c r="F35" s="7" t="inlineStr">
        <is>
          <t>Desk</t>
        </is>
      </c>
      <c r="G35" s="13" t="n">
        <v>4</v>
      </c>
      <c r="H35" s="13" t="n">
        <v>9500</v>
      </c>
      <c r="I35" s="13" t="n">
        <v>7</v>
      </c>
      <c r="J35" s="12" t="inlineStr">
        <is>
          <t>Pending</t>
        </is>
      </c>
      <c r="K35" s="12">
        <f>IF(J35="Paid",G35*H35*(1-I35/100),"")</f>
        <v/>
      </c>
      <c r="L35" s="12">
        <f>G35*H35</f>
        <v/>
      </c>
      <c r="M35" s="13">
        <f>TEXT(B35,"MMMM")</f>
        <v/>
      </c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12" t="inlineStr">
        <is>
          <t>O035</t>
        </is>
      </c>
      <c r="B36" s="6" t="n">
        <v>45732</v>
      </c>
      <c r="C36" s="12" t="inlineStr">
        <is>
          <t>Veena Varma</t>
        </is>
      </c>
      <c r="D36" s="12" t="inlineStr">
        <is>
          <t>North</t>
        </is>
      </c>
      <c r="E36" s="12" t="inlineStr">
        <is>
          <t>Neha Sharma</t>
        </is>
      </c>
      <c r="F36" s="7" t="inlineStr">
        <is>
          <t>Printer</t>
        </is>
      </c>
      <c r="G36" s="13" t="n">
        <v>2</v>
      </c>
      <c r="H36" s="13" t="n">
        <v>12000</v>
      </c>
      <c r="I36" s="13" t="n">
        <v>6</v>
      </c>
      <c r="J36" s="12" t="inlineStr">
        <is>
          <t>Paid</t>
        </is>
      </c>
      <c r="K36" s="13">
        <f>IF(J36="Paid",G36*H36*(1-I36/100),"")</f>
        <v/>
      </c>
      <c r="L36" s="13">
        <f>G36*H36</f>
        <v/>
      </c>
      <c r="M36" s="13">
        <f>TEXT(B36,"MMMM")</f>
        <v/>
      </c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12" t="inlineStr">
        <is>
          <t>O036</t>
        </is>
      </c>
      <c r="B37" s="10" t="n">
        <v>45752</v>
      </c>
      <c r="C37" s="12" t="inlineStr">
        <is>
          <t>Sunita</t>
        </is>
      </c>
      <c r="D37" s="12" t="inlineStr">
        <is>
          <t>East</t>
        </is>
      </c>
      <c r="E37" s="12" t="inlineStr">
        <is>
          <t>RAHUL NAIR</t>
        </is>
      </c>
      <c r="F37" s="7" t="inlineStr">
        <is>
          <t>Mobile</t>
        </is>
      </c>
      <c r="G37" s="13" t="n">
        <v>3</v>
      </c>
      <c r="H37" s="13" t="n">
        <v>18000</v>
      </c>
      <c r="I37" s="13" t="n">
        <v>5</v>
      </c>
      <c r="J37" s="12" t="inlineStr">
        <is>
          <t>Paid</t>
        </is>
      </c>
      <c r="K37" s="13">
        <f>IF(J37="Paid",G37*H37*(1-I37/100),"")</f>
        <v/>
      </c>
      <c r="L37" s="13">
        <f>G37*H37</f>
        <v/>
      </c>
      <c r="M37" s="13">
        <f>TEXT(B37,"MMMM")</f>
        <v/>
      </c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12" t="inlineStr">
        <is>
          <t>O037</t>
        </is>
      </c>
      <c r="B38" s="6" t="n">
        <v>45714</v>
      </c>
      <c r="C38" s="12" t="inlineStr">
        <is>
          <t>Prakash</t>
        </is>
      </c>
      <c r="D38" s="12" t="inlineStr">
        <is>
          <t>South</t>
        </is>
      </c>
      <c r="E38" s="12" t="inlineStr">
        <is>
          <t>Neha Sharma</t>
        </is>
      </c>
      <c r="F38" s="7" t="inlineStr">
        <is>
          <t>Laptop</t>
        </is>
      </c>
      <c r="G38" s="13" t="n">
        <v>2</v>
      </c>
      <c r="H38" s="13" t="n">
        <v>55000</v>
      </c>
      <c r="I38" s="13" t="n">
        <v>7</v>
      </c>
      <c r="J38" s="12" t="inlineStr">
        <is>
          <t>Paid</t>
        </is>
      </c>
      <c r="K38" s="13">
        <f>IF(J38="Paid",G38*H38*(1-I38/100),"")</f>
        <v/>
      </c>
      <c r="L38" s="13">
        <f>G38*H38</f>
        <v/>
      </c>
      <c r="M38" s="13">
        <f>TEXT(B38,"MMMM")</f>
        <v/>
      </c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12" t="inlineStr">
        <is>
          <t>O038</t>
        </is>
      </c>
      <c r="B39" s="10" t="n">
        <v>45724</v>
      </c>
      <c r="C39" s="12" t="inlineStr">
        <is>
          <t>Kavita</t>
        </is>
      </c>
      <c r="D39" s="12" t="inlineStr">
        <is>
          <t>West</t>
        </is>
      </c>
      <c r="E39" s="12" t="inlineStr">
        <is>
          <t>Anita Joseph</t>
        </is>
      </c>
      <c r="F39" s="7" t="inlineStr">
        <is>
          <t>Office Chair</t>
        </is>
      </c>
      <c r="G39" s="13" t="n">
        <v>1</v>
      </c>
      <c r="H39" s="13" t="n">
        <v>7500</v>
      </c>
      <c r="I39" s="13" t="n">
        <v>4</v>
      </c>
      <c r="J39" s="12" t="inlineStr">
        <is>
          <t>Paid</t>
        </is>
      </c>
      <c r="K39" s="13">
        <f>IF(J39="Paid",G39*H39*(1-I39/100),"")</f>
        <v/>
      </c>
      <c r="L39" s="13">
        <f>G39*H39</f>
        <v/>
      </c>
      <c r="M39" s="13">
        <f>TEXT(B39,"MMMM")</f>
        <v/>
      </c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12" t="inlineStr">
        <is>
          <t>O039</t>
        </is>
      </c>
      <c r="B40" s="6" t="n">
        <v>45705</v>
      </c>
      <c r="C40" s="12" t="inlineStr">
        <is>
          <t>Ram</t>
        </is>
      </c>
      <c r="D40" s="12" t="inlineStr">
        <is>
          <t>North</t>
        </is>
      </c>
      <c r="E40" s="12" t="inlineStr">
        <is>
          <t>RIYA GUPTA</t>
        </is>
      </c>
      <c r="F40" s="7" t="inlineStr">
        <is>
          <t>Desk</t>
        </is>
      </c>
      <c r="G40" s="13" t="n">
        <v>2</v>
      </c>
      <c r="H40" s="13" t="n">
        <v>9500</v>
      </c>
      <c r="I40" s="13" t="n">
        <v>3</v>
      </c>
      <c r="J40" s="12" t="inlineStr">
        <is>
          <t>Pending</t>
        </is>
      </c>
      <c r="K40" s="12">
        <f>IF(J40="Paid",G40*H40*(1-I40/100),"")</f>
        <v/>
      </c>
      <c r="L40" s="12">
        <f>G40*H40</f>
        <v/>
      </c>
      <c r="M40" s="13">
        <f>TEXT(B40,"MMMM")</f>
        <v/>
      </c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12" t="inlineStr">
        <is>
          <t>O040</t>
        </is>
      </c>
      <c r="B41" s="10" t="n">
        <v>45748</v>
      </c>
      <c r="C41" s="12" t="inlineStr">
        <is>
          <t>Anil</t>
        </is>
      </c>
      <c r="D41" s="12" t="inlineStr">
        <is>
          <t>South</t>
        </is>
      </c>
      <c r="E41" s="12" t="inlineStr">
        <is>
          <t>Neha Sharma</t>
        </is>
      </c>
      <c r="F41" s="7" t="inlineStr">
        <is>
          <t>Mobile</t>
        </is>
      </c>
      <c r="G41" s="13" t="n">
        <v>4</v>
      </c>
      <c r="H41" s="13" t="n">
        <v>18000</v>
      </c>
      <c r="I41" s="13" t="n">
        <v>8</v>
      </c>
      <c r="J41" s="12" t="inlineStr">
        <is>
          <t>Paid</t>
        </is>
      </c>
      <c r="K41" s="13">
        <f>IF(J41="Paid",G41*H41*(1-I41/100),"")</f>
        <v/>
      </c>
      <c r="L41" s="13">
        <f>G41*H41</f>
        <v/>
      </c>
      <c r="M41" s="13">
        <f>TEXT(B41,"MMMM")</f>
        <v/>
      </c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12" t="inlineStr">
        <is>
          <t>O041</t>
        </is>
      </c>
      <c r="B42" s="6" t="n">
        <v>45699</v>
      </c>
      <c r="C42" s="12" t="inlineStr">
        <is>
          <t>Maya</t>
        </is>
      </c>
      <c r="D42" s="12" t="inlineStr">
        <is>
          <t>West</t>
        </is>
      </c>
      <c r="E42" s="12" t="inlineStr">
        <is>
          <t>RAHUL NAIR</t>
        </is>
      </c>
      <c r="F42" s="7" t="inlineStr">
        <is>
          <t>Printer</t>
        </is>
      </c>
      <c r="G42" s="13" t="n">
        <v>3</v>
      </c>
      <c r="H42" s="13" t="n">
        <v>12000</v>
      </c>
      <c r="I42" s="13" t="n">
        <v>5</v>
      </c>
      <c r="J42" s="12" t="inlineStr">
        <is>
          <t>Paid</t>
        </is>
      </c>
      <c r="K42" s="13">
        <f>IF(J42="Paid",G42*H42*(1-I42/100),"")</f>
        <v/>
      </c>
      <c r="L42" s="13">
        <f>G42*H42</f>
        <v/>
      </c>
      <c r="M42" s="13">
        <f>TEXT(B42,"MMMM")</f>
        <v/>
      </c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12" t="inlineStr">
        <is>
          <t>O042</t>
        </is>
      </c>
      <c r="B43" s="10" t="n">
        <v>45719</v>
      </c>
      <c r="C43" s="12" t="inlineStr">
        <is>
          <t>Jaya</t>
        </is>
      </c>
      <c r="D43" s="12" t="inlineStr">
        <is>
          <t>East</t>
        </is>
      </c>
      <c r="E43" s="12" t="inlineStr">
        <is>
          <t>neha sharma</t>
        </is>
      </c>
      <c r="F43" s="7" t="inlineStr">
        <is>
          <t>Mobile</t>
        </is>
      </c>
      <c r="G43" s="13" t="n">
        <v>5</v>
      </c>
      <c r="H43" s="13" t="n">
        <v>18000</v>
      </c>
      <c r="I43" s="13" t="n">
        <v>6</v>
      </c>
      <c r="J43" s="12" t="inlineStr">
        <is>
          <t>Unpaid</t>
        </is>
      </c>
      <c r="K43" s="12">
        <f>IF(J43="Paid",G43*H43*(1-I43/100),"")</f>
        <v/>
      </c>
      <c r="L43" s="12">
        <f>G43*H43</f>
        <v/>
      </c>
      <c r="M43" s="13">
        <f>TEXT(B43,"MMMM")</f>
        <v/>
      </c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12" t="inlineStr">
        <is>
          <t>O043</t>
        </is>
      </c>
      <c r="B44" s="6" t="n">
        <v>45745</v>
      </c>
      <c r="C44" s="12" t="inlineStr">
        <is>
          <t>Anita</t>
        </is>
      </c>
      <c r="D44" s="12" t="inlineStr">
        <is>
          <t>North</t>
        </is>
      </c>
      <c r="E44" s="12" t="inlineStr">
        <is>
          <t>Srikanth Verma</t>
        </is>
      </c>
      <c r="F44" s="7" t="inlineStr">
        <is>
          <t>Laptop</t>
        </is>
      </c>
      <c r="G44" s="13" t="n">
        <v>2</v>
      </c>
      <c r="H44" s="13" t="n">
        <v>55000</v>
      </c>
      <c r="I44" s="13" t="n">
        <v>5</v>
      </c>
      <c r="J44" s="12" t="inlineStr">
        <is>
          <t>Paid</t>
        </is>
      </c>
      <c r="K44" s="13">
        <f>IF(J44="Paid",G44*H44*(1-I44/100),"")</f>
        <v/>
      </c>
      <c r="L44" s="13">
        <f>G44*H44</f>
        <v/>
      </c>
      <c r="M44" s="13">
        <f>TEXT(B44,"MMMM")</f>
        <v/>
      </c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12" t="inlineStr">
        <is>
          <t>O044</t>
        </is>
      </c>
      <c r="B45" s="10" t="n">
        <v>45753</v>
      </c>
      <c r="C45" s="12" t="inlineStr">
        <is>
          <t>Praveen</t>
        </is>
      </c>
      <c r="D45" s="12" t="inlineStr">
        <is>
          <t>South</t>
        </is>
      </c>
      <c r="E45" s="12" t="inlineStr">
        <is>
          <t>ANITA JOSEPH</t>
        </is>
      </c>
      <c r="F45" s="7" t="inlineStr">
        <is>
          <t>Office Chair</t>
        </is>
      </c>
      <c r="G45" s="13" t="n">
        <v>2</v>
      </c>
      <c r="H45" s="13" t="n">
        <v>7500</v>
      </c>
      <c r="I45" s="13" t="n">
        <v>6</v>
      </c>
      <c r="J45" s="12" t="inlineStr">
        <is>
          <t>Paid</t>
        </is>
      </c>
      <c r="K45" s="13">
        <f>IF(J45="Paid",G45*H45*(1-I45/100),"")</f>
        <v/>
      </c>
      <c r="L45" s="13">
        <f>G45*H45</f>
        <v/>
      </c>
      <c r="M45" s="13">
        <f>TEXT(B45,"MMMM")</f>
        <v/>
      </c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12" t="inlineStr">
        <is>
          <t>O045</t>
        </is>
      </c>
      <c r="B46" s="6" t="n">
        <v>45711</v>
      </c>
      <c r="C46" s="12" t="inlineStr">
        <is>
          <t>Nikita</t>
        </is>
      </c>
      <c r="D46" s="12" t="inlineStr">
        <is>
          <t>West</t>
        </is>
      </c>
      <c r="E46" s="12" t="inlineStr">
        <is>
          <t>RAHUL NAIR</t>
        </is>
      </c>
      <c r="F46" s="7" t="inlineStr">
        <is>
          <t>Mobile</t>
        </is>
      </c>
      <c r="G46" s="13" t="n">
        <v>4</v>
      </c>
      <c r="H46" s="13" t="n">
        <v>18000</v>
      </c>
      <c r="I46" s="13" t="n">
        <v>8</v>
      </c>
      <c r="J46" s="12" t="inlineStr">
        <is>
          <t>Paid</t>
        </is>
      </c>
      <c r="K46" s="13">
        <f>IF(J46="Paid",G46*H46*(1-I46/100),"")</f>
        <v/>
      </c>
      <c r="L46" s="13">
        <f>G46*H46</f>
        <v/>
      </c>
      <c r="M46" s="13">
        <f>TEXT(B46,"MMMM")</f>
        <v/>
      </c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30" t="inlineStr">
        <is>
          <t>O100</t>
        </is>
      </c>
      <c r="B47" s="31" t="n">
        <v>45715</v>
      </c>
      <c r="C47" s="30" t="inlineStr">
        <is>
          <t>Ankit</t>
        </is>
      </c>
      <c r="D47" s="30" t="inlineStr">
        <is>
          <t>West</t>
        </is>
      </c>
      <c r="E47" s="30" t="inlineStr">
        <is>
          <t>RAHUL NAIR</t>
        </is>
      </c>
      <c r="F47" s="32" t="inlineStr">
        <is>
          <t>Printer</t>
        </is>
      </c>
      <c r="G47" s="33" t="n">
        <v>2</v>
      </c>
      <c r="H47" s="33" t="n">
        <v>12000</v>
      </c>
      <c r="I47" s="33" t="n">
        <v>6</v>
      </c>
      <c r="J47" s="30" t="inlineStr">
        <is>
          <t>Paid</t>
        </is>
      </c>
      <c r="K47" s="33">
        <f>IF(J47="Paid",G47*H47*(1-I47/100),"")</f>
        <v/>
      </c>
      <c r="L47" s="33">
        <f>G47*H47</f>
        <v/>
      </c>
      <c r="M47" s="33">
        <f>TEXT(B47,"MMMM")</f>
        <v/>
      </c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5" t="inlineStr">
        <is>
          <t>DUPLICATE</t>
        </is>
      </c>
    </row>
    <row r="48">
      <c r="A48" s="12" t="inlineStr">
        <is>
          <t>O046</t>
        </is>
      </c>
      <c r="B48" s="6" t="n">
        <v>45747</v>
      </c>
      <c r="C48" s="12" t="inlineStr">
        <is>
          <t>Kavya</t>
        </is>
      </c>
      <c r="D48" s="12" t="inlineStr">
        <is>
          <t>East</t>
        </is>
      </c>
      <c r="E48" s="12" t="inlineStr">
        <is>
          <t>Neha Sharma</t>
        </is>
      </c>
      <c r="F48" s="7" t="inlineStr">
        <is>
          <t>Printer</t>
        </is>
      </c>
      <c r="G48" s="13" t="n">
        <v>2</v>
      </c>
      <c r="H48" s="13" t="n">
        <v>12000</v>
      </c>
      <c r="I48" s="13" t="n">
        <v>5</v>
      </c>
      <c r="J48" s="12" t="inlineStr">
        <is>
          <t>Paid</t>
        </is>
      </c>
      <c r="K48" s="13">
        <f>IF(J48="Paid",G48*H48*(1-I48/100),"")</f>
        <v/>
      </c>
      <c r="L48" s="13">
        <f>G48*H48</f>
        <v/>
      </c>
      <c r="M48" s="13">
        <f>TEXT(B48,"MMMM")</f>
        <v/>
      </c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12" t="inlineStr">
        <is>
          <t>O047</t>
        </is>
      </c>
      <c r="B49" s="6" t="n">
        <v>45702</v>
      </c>
      <c r="C49" s="12" t="inlineStr">
        <is>
          <t>Sahil</t>
        </is>
      </c>
      <c r="D49" s="12" t="inlineStr">
        <is>
          <t>North</t>
        </is>
      </c>
      <c r="E49" s="12" t="inlineStr">
        <is>
          <t>RAHUL NAIR</t>
        </is>
      </c>
      <c r="F49" s="7" t="inlineStr">
        <is>
          <t>Laptop</t>
        </is>
      </c>
      <c r="G49" s="13" t="n">
        <v>5</v>
      </c>
      <c r="H49" s="13" t="n">
        <v>55000</v>
      </c>
      <c r="I49" s="13" t="n">
        <v>7</v>
      </c>
      <c r="J49" s="12" t="inlineStr">
        <is>
          <t>Paid</t>
        </is>
      </c>
      <c r="K49" s="13">
        <f>IF(J49="Paid",G49*H49*(1-I49/100),"")</f>
        <v/>
      </c>
      <c r="L49" s="13">
        <f>G49*H49</f>
        <v/>
      </c>
      <c r="M49" s="13">
        <f>TEXT(B49,"MMMM")</f>
        <v/>
      </c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12" t="inlineStr">
        <is>
          <t>O048</t>
        </is>
      </c>
      <c r="B50" s="6" t="n">
        <v>45716</v>
      </c>
      <c r="C50" s="12" t="inlineStr">
        <is>
          <t>Meena</t>
        </is>
      </c>
      <c r="D50" s="12" t="inlineStr">
        <is>
          <t>South</t>
        </is>
      </c>
      <c r="E50" s="12" t="inlineStr">
        <is>
          <t>RIYA GUPTA</t>
        </is>
      </c>
      <c r="F50" s="7" t="inlineStr">
        <is>
          <t>Desk</t>
        </is>
      </c>
      <c r="G50" s="13" t="n">
        <v>3</v>
      </c>
      <c r="H50" s="13" t="n">
        <v>9500</v>
      </c>
      <c r="I50" s="13" t="n">
        <v>4</v>
      </c>
      <c r="J50" s="12" t="inlineStr">
        <is>
          <t>Paid</t>
        </is>
      </c>
      <c r="K50" s="13">
        <f>IF(J50="Paid",G50*H50*(1-I50/100),"")</f>
        <v/>
      </c>
      <c r="L50" s="13">
        <f>G50*H50</f>
        <v/>
      </c>
      <c r="M50" s="13">
        <f>TEXT(B50,"MMMM")</f>
        <v/>
      </c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12" t="inlineStr">
        <is>
          <t>O049</t>
        </is>
      </c>
      <c r="B51" s="6" t="n">
        <v>45737</v>
      </c>
      <c r="C51" s="12" t="inlineStr">
        <is>
          <t>Sandhya</t>
        </is>
      </c>
      <c r="D51" s="12" t="inlineStr">
        <is>
          <t>West</t>
        </is>
      </c>
      <c r="E51" s="12" t="inlineStr">
        <is>
          <t>Neha Sharma</t>
        </is>
      </c>
      <c r="F51" s="7" t="inlineStr">
        <is>
          <t>Mobile</t>
        </is>
      </c>
      <c r="G51" s="13" t="n">
        <v>6</v>
      </c>
      <c r="H51" s="13" t="n">
        <v>18000</v>
      </c>
      <c r="I51" s="13" t="n">
        <v>5</v>
      </c>
      <c r="J51" s="12" t="inlineStr">
        <is>
          <t>Paid</t>
        </is>
      </c>
      <c r="K51" s="13">
        <f>IF(J51="Paid",G51*H51*(1-I51/100),"")</f>
        <v/>
      </c>
      <c r="L51" s="13">
        <f>G51*H51</f>
        <v/>
      </c>
      <c r="M51" s="13">
        <f>TEXT(B51,"MMMM")</f>
        <v/>
      </c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12" t="inlineStr">
        <is>
          <t>O050</t>
        </is>
      </c>
      <c r="B52" s="10" t="n">
        <v>45721</v>
      </c>
      <c r="C52" s="12" t="inlineStr">
        <is>
          <t>Suman</t>
        </is>
      </c>
      <c r="D52" s="12" t="inlineStr">
        <is>
          <t>East</t>
        </is>
      </c>
      <c r="E52" s="12" t="inlineStr">
        <is>
          <t>Anita Joseph</t>
        </is>
      </c>
      <c r="F52" s="7" t="inlineStr">
        <is>
          <t>Laptop</t>
        </is>
      </c>
      <c r="G52" s="13" t="n">
        <v>1</v>
      </c>
      <c r="H52" s="13" t="n">
        <v>55000</v>
      </c>
      <c r="I52" s="13" t="n">
        <v>6</v>
      </c>
      <c r="J52" s="12" t="inlineStr">
        <is>
          <t>Paid</t>
        </is>
      </c>
      <c r="K52" s="13">
        <f>IF(J52="Paid",G52*H52*(1-I52/100),"")</f>
        <v/>
      </c>
      <c r="L52" s="13">
        <f>G52*H52</f>
        <v/>
      </c>
      <c r="M52" s="13">
        <f>TEXT(B52,"MMMM")</f>
        <v/>
      </c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12" t="inlineStr">
        <is>
          <t>O051</t>
        </is>
      </c>
      <c r="B53" s="6" t="n">
        <v>45759</v>
      </c>
      <c r="C53" s="12" t="inlineStr">
        <is>
          <t>Naveen</t>
        </is>
      </c>
      <c r="D53" s="12" t="inlineStr">
        <is>
          <t>South</t>
        </is>
      </c>
      <c r="E53" s="12" t="inlineStr">
        <is>
          <t>neha sharma</t>
        </is>
      </c>
      <c r="F53" s="7" t="inlineStr">
        <is>
          <t>Mobile</t>
        </is>
      </c>
      <c r="G53" s="13" t="n">
        <v>5</v>
      </c>
      <c r="H53" s="13" t="n">
        <v>18000</v>
      </c>
      <c r="I53" s="13" t="n">
        <v>3</v>
      </c>
      <c r="J53" s="12" t="inlineStr">
        <is>
          <t>Paid</t>
        </is>
      </c>
      <c r="K53" s="13">
        <f>IF(J53="Paid",G53*H53*(1-I53/100),"")</f>
        <v/>
      </c>
      <c r="L53" s="13">
        <f>G53*H53</f>
        <v/>
      </c>
      <c r="M53" s="13">
        <f>TEXT(B53,"MMMM")</f>
        <v/>
      </c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12" t="inlineStr">
        <is>
          <t>O052</t>
        </is>
      </c>
      <c r="B54" s="6" t="n">
        <v>45772</v>
      </c>
      <c r="C54" s="12" t="inlineStr">
        <is>
          <t>Prashant</t>
        </is>
      </c>
      <c r="D54" s="12" t="inlineStr">
        <is>
          <t>West</t>
        </is>
      </c>
      <c r="E54" s="12" t="inlineStr">
        <is>
          <t>RAHUL NAIR</t>
        </is>
      </c>
      <c r="F54" s="7" t="inlineStr">
        <is>
          <t>Printer</t>
        </is>
      </c>
      <c r="G54" s="13" t="n">
        <v>1</v>
      </c>
      <c r="H54" s="13" t="n">
        <v>12000</v>
      </c>
      <c r="I54" s="13" t="n">
        <v>5</v>
      </c>
      <c r="J54" s="12" t="inlineStr">
        <is>
          <t>Paid</t>
        </is>
      </c>
      <c r="K54" s="13">
        <f>IF(J54="Paid",G54*H54*(1-I54/100),"")</f>
        <v/>
      </c>
      <c r="L54" s="13">
        <f>G54*H54</f>
        <v/>
      </c>
      <c r="M54" s="13">
        <f>TEXT(B54,"MMMM")</f>
        <v/>
      </c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12" t="inlineStr">
        <is>
          <t>O053</t>
        </is>
      </c>
      <c r="B55" s="10" t="n">
        <v>45696</v>
      </c>
      <c r="C55" s="12" t="inlineStr">
        <is>
          <t>Deepa Menon</t>
        </is>
      </c>
      <c r="D55" s="12" t="inlineStr">
        <is>
          <t>East</t>
        </is>
      </c>
      <c r="E55" s="12" t="inlineStr">
        <is>
          <t>Anita Joseph</t>
        </is>
      </c>
      <c r="F55" s="7" t="inlineStr">
        <is>
          <t>Mobile</t>
        </is>
      </c>
      <c r="G55" s="13" t="n">
        <v>6</v>
      </c>
      <c r="H55" s="13" t="n">
        <v>18000</v>
      </c>
      <c r="I55" s="13" t="n">
        <v>8</v>
      </c>
      <c r="J55" s="12" t="inlineStr">
        <is>
          <t>Paid</t>
        </is>
      </c>
      <c r="K55" s="13">
        <f>IF(J55="Paid",G55*H55*(1-I55/100),"")</f>
        <v/>
      </c>
      <c r="L55" s="13">
        <f>G55*H55</f>
        <v/>
      </c>
      <c r="M55" s="13">
        <f>TEXT(B55,"MMMM")</f>
        <v/>
      </c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12" t="inlineStr">
        <is>
          <t>O054</t>
        </is>
      </c>
      <c r="B56" s="6" t="n">
        <v>45735</v>
      </c>
      <c r="C56" s="12" t="inlineStr">
        <is>
          <t>Kumar</t>
        </is>
      </c>
      <c r="D56" s="12" t="inlineStr">
        <is>
          <t>South</t>
        </is>
      </c>
      <c r="E56" s="12" t="inlineStr">
        <is>
          <t>Neha Sharma</t>
        </is>
      </c>
      <c r="F56" s="7" t="inlineStr">
        <is>
          <t>Desk</t>
        </is>
      </c>
      <c r="G56" s="13" t="n">
        <v>2</v>
      </c>
      <c r="H56" s="13" t="n">
        <v>9500</v>
      </c>
      <c r="I56" s="13" t="n">
        <v>6</v>
      </c>
      <c r="J56" s="12" t="inlineStr">
        <is>
          <t>Paid</t>
        </is>
      </c>
      <c r="K56" s="13">
        <f>IF(J56="Paid",G56*H56*(1-I56/100),"")</f>
        <v/>
      </c>
      <c r="L56" s="13">
        <f>G56*H56</f>
        <v/>
      </c>
      <c r="M56" s="13">
        <f>TEXT(B56,"MMMM")</f>
        <v/>
      </c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12" t="inlineStr">
        <is>
          <t>O055</t>
        </is>
      </c>
      <c r="B57" s="10" t="n">
        <v>45718</v>
      </c>
      <c r="C57" s="12" t="inlineStr">
        <is>
          <t>Lakshmi</t>
        </is>
      </c>
      <c r="D57" s="12" t="inlineStr">
        <is>
          <t>West</t>
        </is>
      </c>
      <c r="E57" s="12" t="inlineStr">
        <is>
          <t>RIYA GUPTA</t>
        </is>
      </c>
      <c r="F57" s="7" t="inlineStr">
        <is>
          <t>Office Chair</t>
        </is>
      </c>
      <c r="G57" s="13" t="n">
        <v>6</v>
      </c>
      <c r="H57" s="13" t="n">
        <v>7500</v>
      </c>
      <c r="I57" s="13" t="n">
        <v>5</v>
      </c>
      <c r="J57" s="12" t="inlineStr">
        <is>
          <t>Pending</t>
        </is>
      </c>
      <c r="K57" s="12">
        <f>IF(J57="Paid",G57*H57*(1-I57/100),"")</f>
        <v/>
      </c>
      <c r="L57" s="12">
        <f>G57*H57</f>
        <v/>
      </c>
      <c r="M57" s="13">
        <f>TEXT(B57,"MMMM")</f>
        <v/>
      </c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12" t="inlineStr">
        <is>
          <t>O056</t>
        </is>
      </c>
      <c r="B58" s="10" t="n">
        <v>45756</v>
      </c>
      <c r="C58" s="12" t="inlineStr">
        <is>
          <t>Neha Sharma</t>
        </is>
      </c>
      <c r="D58" s="12" t="inlineStr">
        <is>
          <t>North</t>
        </is>
      </c>
      <c r="E58" s="12" t="inlineStr">
        <is>
          <t>RAHUL NAIR</t>
        </is>
      </c>
      <c r="F58" s="7" t="inlineStr">
        <is>
          <t>Mobile</t>
        </is>
      </c>
      <c r="G58" s="13" t="n">
        <v>4</v>
      </c>
      <c r="H58" s="13" t="n">
        <v>18000</v>
      </c>
      <c r="I58" s="13" t="n">
        <v>6</v>
      </c>
      <c r="J58" s="12" t="inlineStr">
        <is>
          <t>Paid</t>
        </is>
      </c>
      <c r="K58" s="13">
        <f>IF(J58="Paid",G58*H58*(1-I58/100),"")</f>
        <v/>
      </c>
      <c r="L58" s="13">
        <f>G58*H58</f>
        <v/>
      </c>
      <c r="M58" s="13">
        <f>TEXT(B58,"MMMM")</f>
        <v/>
      </c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12" t="inlineStr">
        <is>
          <t>O057</t>
        </is>
      </c>
      <c r="B59" s="6" t="n">
        <v>45705</v>
      </c>
      <c r="C59" s="12" t="inlineStr">
        <is>
          <t>Suresh</t>
        </is>
      </c>
      <c r="D59" s="12" t="inlineStr">
        <is>
          <t>South</t>
        </is>
      </c>
      <c r="E59" s="12" t="inlineStr">
        <is>
          <t>Neha Sharma</t>
        </is>
      </c>
      <c r="F59" s="7" t="inlineStr">
        <is>
          <t>Printer</t>
        </is>
      </c>
      <c r="G59" s="13" t="n">
        <v>2</v>
      </c>
      <c r="H59" s="13" t="n">
        <v>12000</v>
      </c>
      <c r="I59" s="13" t="n">
        <v>4</v>
      </c>
      <c r="J59" s="12" t="inlineStr">
        <is>
          <t>Paid</t>
        </is>
      </c>
      <c r="K59" s="13">
        <f>IF(J59="Paid",G59*H59*(1-I59/100),"")</f>
        <v/>
      </c>
      <c r="L59" s="13">
        <f>G59*H59</f>
        <v/>
      </c>
      <c r="M59" s="13">
        <f>TEXT(B59,"MMMM")</f>
        <v/>
      </c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12" t="inlineStr">
        <is>
          <t>O058</t>
        </is>
      </c>
      <c r="B60" s="6" t="n">
        <v>45708</v>
      </c>
      <c r="C60" s="12" t="inlineStr">
        <is>
          <t>Sunil</t>
        </is>
      </c>
      <c r="D60" s="12" t="inlineStr">
        <is>
          <t>West</t>
        </is>
      </c>
      <c r="E60" s="12" t="inlineStr">
        <is>
          <t>Anita Joseph</t>
        </is>
      </c>
      <c r="F60" s="7" t="inlineStr">
        <is>
          <t>Laptop</t>
        </is>
      </c>
      <c r="G60" s="13" t="n">
        <v>3</v>
      </c>
      <c r="H60" s="13" t="n">
        <v>55000</v>
      </c>
      <c r="I60" s="13" t="n">
        <v>6</v>
      </c>
      <c r="J60" s="12" t="inlineStr">
        <is>
          <t>Paid</t>
        </is>
      </c>
      <c r="K60" s="13">
        <f>IF(J60="Paid",G60*H60*(1-I60/100),"")</f>
        <v/>
      </c>
      <c r="L60" s="13">
        <f>G60*H60</f>
        <v/>
      </c>
      <c r="M60" s="13">
        <f>TEXT(B60,"MMMM")</f>
        <v/>
      </c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12" t="inlineStr">
        <is>
          <t>O059</t>
        </is>
      </c>
      <c r="B61" s="6" t="n">
        <v>45740</v>
      </c>
      <c r="C61" s="12" t="inlineStr">
        <is>
          <t>Vikram</t>
        </is>
      </c>
      <c r="D61" s="12" t="inlineStr">
        <is>
          <t>East</t>
        </is>
      </c>
      <c r="E61" s="12" t="inlineStr">
        <is>
          <t>RAHUL NAIR</t>
        </is>
      </c>
      <c r="F61" s="7" t="inlineStr">
        <is>
          <t>Desk</t>
        </is>
      </c>
      <c r="G61" s="13" t="n">
        <v>1</v>
      </c>
      <c r="H61" s="13" t="n">
        <v>9500</v>
      </c>
      <c r="I61" s="13" t="n">
        <v>3</v>
      </c>
      <c r="J61" s="12" t="inlineStr">
        <is>
          <t>Paid</t>
        </is>
      </c>
      <c r="K61" s="13">
        <f>IF(J61="Paid",G61*H61*(1-I61/100),"")</f>
        <v/>
      </c>
      <c r="L61" s="13">
        <f>G61*H61</f>
        <v/>
      </c>
      <c r="M61" s="13">
        <f>TEXT(B61,"MMMM")</f>
        <v/>
      </c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12" t="inlineStr">
        <is>
          <t>O060</t>
        </is>
      </c>
      <c r="B62" s="6" t="n">
        <v>45701</v>
      </c>
      <c r="C62" s="12" t="inlineStr">
        <is>
          <t>Kamal</t>
        </is>
      </c>
      <c r="D62" s="12" t="inlineStr">
        <is>
          <t>South</t>
        </is>
      </c>
      <c r="E62" s="12" t="inlineStr">
        <is>
          <t>Neha Sharma</t>
        </is>
      </c>
      <c r="F62" s="7" t="inlineStr">
        <is>
          <t>Mobile</t>
        </is>
      </c>
      <c r="G62" s="13" t="n">
        <v>2</v>
      </c>
      <c r="H62" s="13" t="n">
        <v>18000</v>
      </c>
      <c r="I62" s="13" t="n">
        <v>5</v>
      </c>
      <c r="J62" s="12" t="inlineStr">
        <is>
          <t>Paid</t>
        </is>
      </c>
      <c r="K62" s="13">
        <f>IF(J62="Paid",G62*H62*(1-I62/100),"")</f>
        <v/>
      </c>
      <c r="L62" s="13">
        <f>G62*H62</f>
        <v/>
      </c>
      <c r="M62" s="13">
        <f>TEXT(B62,"MMMM")</f>
        <v/>
      </c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12" t="inlineStr">
        <is>
          <t>O061</t>
        </is>
      </c>
      <c r="B63" s="10" t="n">
        <v>45749</v>
      </c>
      <c r="C63" s="12" t="inlineStr">
        <is>
          <t>Rohit</t>
        </is>
      </c>
      <c r="D63" s="12" t="inlineStr">
        <is>
          <t>North</t>
        </is>
      </c>
      <c r="E63" s="12" t="inlineStr">
        <is>
          <t>Anita Joseph</t>
        </is>
      </c>
      <c r="F63" s="7" t="inlineStr">
        <is>
          <t>Printer</t>
        </is>
      </c>
      <c r="G63" s="13" t="n">
        <v>3</v>
      </c>
      <c r="H63" s="13" t="n">
        <v>12000</v>
      </c>
      <c r="I63" s="13" t="n">
        <v>5</v>
      </c>
      <c r="J63" s="12" t="inlineStr">
        <is>
          <t>Paid</t>
        </is>
      </c>
      <c r="K63" s="13">
        <f>IF(J63="Paid",G63*H63*(1-I63/100),"")</f>
        <v/>
      </c>
      <c r="L63" s="13">
        <f>G63*H63</f>
        <v/>
      </c>
      <c r="M63" s="13">
        <f>TEXT(B63,"MMMM")</f>
        <v/>
      </c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12" t="inlineStr">
        <is>
          <t>O062</t>
        </is>
      </c>
      <c r="B64" s="6" t="n">
        <v>45762</v>
      </c>
      <c r="C64" s="12" t="inlineStr">
        <is>
          <t>Priyanka</t>
        </is>
      </c>
      <c r="D64" s="12" t="inlineStr">
        <is>
          <t>West</t>
        </is>
      </c>
      <c r="E64" s="12" t="inlineStr">
        <is>
          <t>RAHUL NAIR</t>
        </is>
      </c>
      <c r="F64" s="7" t="inlineStr">
        <is>
          <t>Laptop</t>
        </is>
      </c>
      <c r="G64" s="13" t="n">
        <v>1</v>
      </c>
      <c r="H64" s="13" t="n">
        <v>55000</v>
      </c>
      <c r="I64" s="13" t="n">
        <v>6</v>
      </c>
      <c r="J64" s="12" t="inlineStr">
        <is>
          <t>Paid</t>
        </is>
      </c>
      <c r="K64" s="13">
        <f>IF(J64="Paid",G64*H64*(1-I64/100),"")</f>
        <v/>
      </c>
      <c r="L64" s="13">
        <f>G64*H64</f>
        <v/>
      </c>
      <c r="M64" s="13">
        <f>TEXT(B64,"MMMM")</f>
        <v/>
      </c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12" t="inlineStr">
        <is>
          <t>O063</t>
        </is>
      </c>
      <c r="B65" s="6" t="n">
        <v>45715</v>
      </c>
      <c r="C65" s="12" t="inlineStr">
        <is>
          <t>Gaurav</t>
        </is>
      </c>
      <c r="D65" s="12" t="inlineStr">
        <is>
          <t>East</t>
        </is>
      </c>
      <c r="E65" s="12" t="inlineStr">
        <is>
          <t>Neha Sharma</t>
        </is>
      </c>
      <c r="F65" s="7" t="inlineStr">
        <is>
          <t>Mobile</t>
        </is>
      </c>
      <c r="G65" s="13" t="n">
        <v>2</v>
      </c>
      <c r="H65" s="13" t="n">
        <v>18000</v>
      </c>
      <c r="I65" s="13" t="n">
        <v>4</v>
      </c>
      <c r="J65" s="12" t="inlineStr">
        <is>
          <t>Paid</t>
        </is>
      </c>
      <c r="K65" s="13">
        <f>IF(J65="Paid",G65*H65*(1-I65/100),"")</f>
        <v/>
      </c>
      <c r="L65" s="13">
        <f>G65*H65</f>
        <v/>
      </c>
      <c r="M65" s="13">
        <f>TEXT(B65,"MMMM")</f>
        <v/>
      </c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12" t="inlineStr">
        <is>
          <t>O064</t>
        </is>
      </c>
      <c r="B66" s="6" t="n">
        <v>45726</v>
      </c>
      <c r="C66" s="12" t="inlineStr">
        <is>
          <t>Rekha</t>
        </is>
      </c>
      <c r="D66" s="12" t="inlineStr">
        <is>
          <t>South</t>
        </is>
      </c>
      <c r="E66" s="12" t="inlineStr">
        <is>
          <t>RAHUL NAIR</t>
        </is>
      </c>
      <c r="F66" s="7" t="inlineStr">
        <is>
          <t>Office Chair</t>
        </is>
      </c>
      <c r="G66" s="13" t="n">
        <v>3</v>
      </c>
      <c r="H66" s="13" t="n">
        <v>7500</v>
      </c>
      <c r="I66" s="13" t="n">
        <v>5</v>
      </c>
      <c r="J66" s="12" t="inlineStr">
        <is>
          <t>Pending</t>
        </is>
      </c>
      <c r="K66" s="12">
        <f>IF(J66="Paid",G66*H66*(1-I66/100),"")</f>
        <v/>
      </c>
      <c r="L66" s="12">
        <f>G66*H66</f>
        <v/>
      </c>
      <c r="M66" s="13">
        <f>TEXT(B66,"MMMM")</f>
        <v/>
      </c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12" t="inlineStr">
        <is>
          <t>O065</t>
        </is>
      </c>
      <c r="B67" s="6" t="n">
        <v>45765</v>
      </c>
      <c r="C67" s="12" t="inlineStr">
        <is>
          <t>Sahil</t>
        </is>
      </c>
      <c r="D67" s="12" t="inlineStr">
        <is>
          <t>North</t>
        </is>
      </c>
      <c r="E67" s="12" t="inlineStr">
        <is>
          <t>neha sharma</t>
        </is>
      </c>
      <c r="F67" s="7" t="inlineStr">
        <is>
          <t>Printer</t>
        </is>
      </c>
      <c r="G67" s="13" t="n">
        <v>4</v>
      </c>
      <c r="H67" s="13" t="n">
        <v>12000</v>
      </c>
      <c r="I67" s="13" t="n">
        <v>7</v>
      </c>
      <c r="J67" s="12" t="inlineStr">
        <is>
          <t>Paid</t>
        </is>
      </c>
      <c r="K67" s="13">
        <f>IF(J67="Paid",G67*H67*(1-I67/100),"")</f>
        <v/>
      </c>
      <c r="L67" s="13">
        <f>G67*H67</f>
        <v/>
      </c>
      <c r="M67" s="13">
        <f>TEXT(B67,"MMMM")</f>
        <v/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12" t="inlineStr">
        <is>
          <t>O066</t>
        </is>
      </c>
      <c r="B68" s="10" t="n">
        <v>45751</v>
      </c>
      <c r="C68" s="12" t="inlineStr">
        <is>
          <t>Megha</t>
        </is>
      </c>
      <c r="D68" s="12" t="inlineStr">
        <is>
          <t>West</t>
        </is>
      </c>
      <c r="E68" s="12" t="inlineStr">
        <is>
          <t>Anita Joseph</t>
        </is>
      </c>
      <c r="F68" s="7" t="inlineStr">
        <is>
          <t>Mobile</t>
        </is>
      </c>
      <c r="G68" s="13" t="n">
        <v>6</v>
      </c>
      <c r="H68" s="13" t="n">
        <v>18000</v>
      </c>
      <c r="I68" s="13" t="n">
        <v>8</v>
      </c>
      <c r="J68" s="12" t="inlineStr">
        <is>
          <t>Pending</t>
        </is>
      </c>
      <c r="K68" s="12">
        <f>IF(J68="Paid",G68*H68*(1-I68/100),"")</f>
        <v/>
      </c>
      <c r="L68" s="12">
        <f>G68*H68</f>
        <v/>
      </c>
      <c r="M68" s="13">
        <f>TEXT(B68,"MMMM")</f>
        <v/>
      </c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12" t="inlineStr">
        <is>
          <t>O067</t>
        </is>
      </c>
      <c r="B69" s="6" t="n">
        <v>45710</v>
      </c>
      <c r="C69" s="12" t="inlineStr">
        <is>
          <t>Kishore</t>
        </is>
      </c>
      <c r="D69" s="12" t="inlineStr">
        <is>
          <t>East</t>
        </is>
      </c>
      <c r="E69" s="12" t="inlineStr">
        <is>
          <t>RIYA GUPTA</t>
        </is>
      </c>
      <c r="F69" s="7" t="inlineStr">
        <is>
          <t>Desk</t>
        </is>
      </c>
      <c r="G69" s="13" t="n">
        <v>2</v>
      </c>
      <c r="H69" s="13" t="n">
        <v>9500</v>
      </c>
      <c r="I69" s="13" t="n">
        <v>6</v>
      </c>
      <c r="J69" s="12" t="inlineStr">
        <is>
          <t>Paid</t>
        </is>
      </c>
      <c r="K69" s="13">
        <f>IF(J69="Paid",G69*H69*(1-I69/100),"")</f>
        <v/>
      </c>
      <c r="L69" s="13">
        <f>G69*H69</f>
        <v/>
      </c>
      <c r="M69" s="13">
        <f>TEXT(B69,"MMMM")</f>
        <v/>
      </c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12" t="inlineStr">
        <is>
          <t>O068</t>
        </is>
      </c>
      <c r="B70" s="10" t="n">
        <v>45719</v>
      </c>
      <c r="C70" s="12" t="inlineStr">
        <is>
          <t>Arjun Reddy</t>
        </is>
      </c>
      <c r="D70" s="12" t="inlineStr">
        <is>
          <t>South</t>
        </is>
      </c>
      <c r="E70" s="12" t="inlineStr">
        <is>
          <t>RAHUL NAIR</t>
        </is>
      </c>
      <c r="F70" s="7" t="inlineStr">
        <is>
          <t>Laptop</t>
        </is>
      </c>
      <c r="G70" s="13" t="n">
        <v>1</v>
      </c>
      <c r="H70" s="14" t="inlineStr">
        <is>
          <t xml:space="preserve">55000 </t>
        </is>
      </c>
      <c r="I70" s="13" t="n">
        <v>6</v>
      </c>
      <c r="J70" s="12" t="inlineStr">
        <is>
          <t>Paid</t>
        </is>
      </c>
      <c r="K70" s="13">
        <f>IF(J70="Paid",G70*H70*(1-I70/100),"")</f>
        <v/>
      </c>
      <c r="L70" s="13">
        <f>G70*H70</f>
        <v/>
      </c>
      <c r="M70" s="13">
        <f>TEXT(B70,"MMMM")</f>
        <v/>
      </c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12" t="inlineStr">
        <is>
          <t>O069</t>
        </is>
      </c>
      <c r="B71" s="10" t="n">
        <v>45754</v>
      </c>
      <c r="C71" s="12" t="inlineStr">
        <is>
          <t>Suman</t>
        </is>
      </c>
      <c r="D71" s="12" t="inlineStr">
        <is>
          <t>West</t>
        </is>
      </c>
      <c r="E71" s="12" t="inlineStr">
        <is>
          <t>Neha Sharma</t>
        </is>
      </c>
      <c r="F71" s="7" t="inlineStr">
        <is>
          <t>Printer</t>
        </is>
      </c>
      <c r="G71" s="13" t="n">
        <v>2</v>
      </c>
      <c r="H71" s="13" t="n">
        <v>12000</v>
      </c>
      <c r="I71" s="13" t="n">
        <v>3</v>
      </c>
      <c r="J71" s="12" t="inlineStr">
        <is>
          <t>Paid</t>
        </is>
      </c>
      <c r="K71" s="13">
        <f>IF(J71="Paid",G71*H71*(1-I71/100),"")</f>
        <v/>
      </c>
      <c r="L71" s="13">
        <f>G71*H71</f>
        <v/>
      </c>
      <c r="M71" s="13">
        <f>TEXT(B71,"MMMM")</f>
        <v/>
      </c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12" t="inlineStr">
        <is>
          <t>O070</t>
        </is>
      </c>
      <c r="B72" s="6" t="n">
        <v>45704</v>
      </c>
      <c r="C72" s="12" t="inlineStr">
        <is>
          <t>Jagdish</t>
        </is>
      </c>
      <c r="D72" s="12" t="inlineStr">
        <is>
          <t>South</t>
        </is>
      </c>
      <c r="E72" s="12" t="inlineStr">
        <is>
          <t>ANITA JOSEPH</t>
        </is>
      </c>
      <c r="F72" s="7" t="inlineStr">
        <is>
          <t>Mobile</t>
        </is>
      </c>
      <c r="G72" s="13" t="n">
        <v>3</v>
      </c>
      <c r="H72" s="13" t="n">
        <v>18000</v>
      </c>
      <c r="I72" s="13" t="n">
        <v>5</v>
      </c>
      <c r="J72" s="12" t="inlineStr">
        <is>
          <t>Paid</t>
        </is>
      </c>
      <c r="K72" s="13">
        <f>IF(J72="Paid",G72*H72*(1-I72/100),"")</f>
        <v/>
      </c>
      <c r="L72" s="13">
        <f>G72*H72</f>
        <v/>
      </c>
      <c r="M72" s="13">
        <f>TEXT(B72,"MMMM")</f>
        <v/>
      </c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12" t="inlineStr">
        <is>
          <t>O071</t>
        </is>
      </c>
      <c r="B73" s="6" t="n">
        <v>45746</v>
      </c>
      <c r="C73" s="12" t="inlineStr">
        <is>
          <t>Asha</t>
        </is>
      </c>
      <c r="D73" s="12" t="inlineStr">
        <is>
          <t>North</t>
        </is>
      </c>
      <c r="E73" s="12" t="inlineStr">
        <is>
          <t>Neha Sharma</t>
        </is>
      </c>
      <c r="F73" s="7" t="inlineStr">
        <is>
          <t>Desk</t>
        </is>
      </c>
      <c r="G73" s="13" t="n">
        <v>4</v>
      </c>
      <c r="H73" s="13" t="n">
        <v>9500</v>
      </c>
      <c r="I73" s="13" t="n">
        <v>7</v>
      </c>
      <c r="J73" s="12" t="inlineStr">
        <is>
          <t>Paid</t>
        </is>
      </c>
      <c r="K73" s="13">
        <f>IF(J73="Paid",G73*H73*(1-I73/100),"")</f>
        <v/>
      </c>
      <c r="L73" s="13">
        <f>G73*H73</f>
        <v/>
      </c>
      <c r="M73" s="13">
        <f>TEXT(B73,"MMMM")</f>
        <v/>
      </c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12" t="inlineStr">
        <is>
          <t>O072</t>
        </is>
      </c>
      <c r="B74" s="6" t="n">
        <v>45758</v>
      </c>
      <c r="C74" s="12" t="inlineStr">
        <is>
          <t>Bhavesh</t>
        </is>
      </c>
      <c r="D74" s="12" t="inlineStr">
        <is>
          <t>East</t>
        </is>
      </c>
      <c r="E74" s="12" t="inlineStr">
        <is>
          <t>RAHUL NAIR</t>
        </is>
      </c>
      <c r="F74" s="7" t="inlineStr">
        <is>
          <t>Mobile</t>
        </is>
      </c>
      <c r="G74" s="13" t="n">
        <v>5</v>
      </c>
      <c r="H74" s="13" t="n">
        <v>18000</v>
      </c>
      <c r="I74" s="13" t="n">
        <v>6</v>
      </c>
      <c r="J74" s="12" t="inlineStr">
        <is>
          <t>Paid</t>
        </is>
      </c>
      <c r="K74" s="13">
        <f>IF(J74="Paid",G74*H74*(1-I74/100),"")</f>
        <v/>
      </c>
      <c r="L74" s="13">
        <f>G74*H74</f>
        <v/>
      </c>
      <c r="M74" s="13">
        <f>TEXT(B74,"MMMM")</f>
        <v/>
      </c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12" t="inlineStr">
        <is>
          <t>O073</t>
        </is>
      </c>
      <c r="B75" s="10" t="n">
        <v>45721</v>
      </c>
      <c r="C75" s="12" t="inlineStr">
        <is>
          <t>Manju S</t>
        </is>
      </c>
      <c r="D75" s="12" t="inlineStr">
        <is>
          <t>West</t>
        </is>
      </c>
      <c r="E75" s="12" t="inlineStr">
        <is>
          <t>neha sharma</t>
        </is>
      </c>
      <c r="F75" s="7" t="inlineStr">
        <is>
          <t>Laptop</t>
        </is>
      </c>
      <c r="G75" s="13" t="n">
        <v>2</v>
      </c>
      <c r="H75" s="13" t="n">
        <v>55000</v>
      </c>
      <c r="I75" s="13" t="n">
        <v>5</v>
      </c>
      <c r="J75" s="12" t="inlineStr">
        <is>
          <t>Unpaid</t>
        </is>
      </c>
      <c r="K75" s="12">
        <f>IF(J75="Paid",G75*H75*(1-I75/100),"")</f>
        <v/>
      </c>
      <c r="L75" s="12">
        <f>G75*H75</f>
        <v/>
      </c>
      <c r="M75" s="13">
        <f>TEXT(B75,"MMMM")</f>
        <v/>
      </c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12" t="inlineStr">
        <is>
          <t>O074</t>
        </is>
      </c>
      <c r="B76" s="6" t="n">
        <v>45714</v>
      </c>
      <c r="C76" s="12" t="inlineStr">
        <is>
          <t>Ritu</t>
        </is>
      </c>
      <c r="D76" s="12" t="inlineStr">
        <is>
          <t>South</t>
        </is>
      </c>
      <c r="E76" s="12" t="inlineStr">
        <is>
          <t>Srikanth Verma</t>
        </is>
      </c>
      <c r="F76" s="7" t="inlineStr">
        <is>
          <t>Office Chair</t>
        </is>
      </c>
      <c r="G76" s="13" t="n">
        <v>1</v>
      </c>
      <c r="H76" s="13" t="n">
        <v>7500</v>
      </c>
      <c r="I76" s="13" t="n">
        <v>3</v>
      </c>
      <c r="J76" s="12" t="inlineStr">
        <is>
          <t>Paid</t>
        </is>
      </c>
      <c r="K76" s="13">
        <f>IF(J76="Paid",G76*H76*(1-I76/100),"")</f>
        <v/>
      </c>
      <c r="L76" s="13">
        <f>G76*H76</f>
        <v/>
      </c>
      <c r="M76" s="13">
        <f>TEXT(B76,"MMMM")</f>
        <v/>
      </c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12" t="inlineStr">
        <is>
          <t>O075</t>
        </is>
      </c>
      <c r="B77" s="10" t="n">
        <v>45755</v>
      </c>
      <c r="C77" s="12" t="inlineStr">
        <is>
          <t>Kunal</t>
        </is>
      </c>
      <c r="D77" s="12" t="inlineStr">
        <is>
          <t>North</t>
        </is>
      </c>
      <c r="E77" s="12" t="inlineStr">
        <is>
          <t>RAHUL NAIR</t>
        </is>
      </c>
      <c r="F77" s="7" t="inlineStr">
        <is>
          <t>Printer</t>
        </is>
      </c>
      <c r="G77" s="13" t="n">
        <v>1</v>
      </c>
      <c r="H77" s="13" t="n">
        <v>12000</v>
      </c>
      <c r="I77" s="13" t="n">
        <v>4</v>
      </c>
      <c r="J77" s="12" t="inlineStr">
        <is>
          <t>Paid</t>
        </is>
      </c>
      <c r="K77" s="13">
        <f>IF(J77="Paid",G77*H77*(1-I77/100),"")</f>
        <v/>
      </c>
      <c r="L77" s="13">
        <f>G77*H77</f>
        <v/>
      </c>
      <c r="M77" s="13">
        <f>TEXT(B77,"MMMM")</f>
        <v/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12" t="inlineStr">
        <is>
          <t>O076</t>
        </is>
      </c>
      <c r="B78" s="6" t="n">
        <v>45730</v>
      </c>
      <c r="C78" s="12" t="inlineStr">
        <is>
          <t>Bhavana</t>
        </is>
      </c>
      <c r="D78" s="12" t="inlineStr">
        <is>
          <t>East</t>
        </is>
      </c>
      <c r="E78" s="12" t="inlineStr">
        <is>
          <t>NEHA SHARMA</t>
        </is>
      </c>
      <c r="F78" s="7" t="inlineStr">
        <is>
          <t>Mobile</t>
        </is>
      </c>
      <c r="G78" s="13" t="n">
        <v>2</v>
      </c>
      <c r="H78" s="13" t="n">
        <v>18000</v>
      </c>
      <c r="I78" s="13" t="n">
        <v>6</v>
      </c>
      <c r="J78" s="12" t="inlineStr">
        <is>
          <t>Paid</t>
        </is>
      </c>
      <c r="K78" s="13">
        <f>IF(J78="Paid",G78*H78*(1-I78/100),"")</f>
        <v/>
      </c>
      <c r="L78" s="13">
        <f>G78*H78</f>
        <v/>
      </c>
      <c r="M78" s="13">
        <f>TEXT(B78,"MMMM")</f>
        <v/>
      </c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12" t="inlineStr">
        <is>
          <t>O077</t>
        </is>
      </c>
      <c r="B79" s="15" t="inlineStr">
        <is>
          <t xml:space="preserve">19-Feb-2025  </t>
        </is>
      </c>
      <c r="C79" s="12" t="inlineStr">
        <is>
          <t>Shweta</t>
        </is>
      </c>
      <c r="D79" s="12" t="inlineStr">
        <is>
          <t>West</t>
        </is>
      </c>
      <c r="E79" s="12" t="inlineStr">
        <is>
          <t>Anita Joseph</t>
        </is>
      </c>
      <c r="F79" s="7" t="inlineStr">
        <is>
          <t>Desk</t>
        </is>
      </c>
      <c r="G79" s="13" t="n">
        <v>3</v>
      </c>
      <c r="H79" s="13" t="n">
        <v>9500</v>
      </c>
      <c r="I79" s="13" t="n">
        <v>6</v>
      </c>
      <c r="J79" s="12" t="inlineStr">
        <is>
          <t>Paid</t>
        </is>
      </c>
      <c r="K79" s="13">
        <f>IF(J79="Paid",G79*H79*(1-I79/100),"")</f>
        <v/>
      </c>
      <c r="L79" s="13">
        <f>G79*H79</f>
        <v/>
      </c>
      <c r="M79" s="13">
        <f>TEXT(B79,"MMMM")</f>
        <v/>
      </c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12" t="inlineStr">
        <is>
          <t>O078</t>
        </is>
      </c>
      <c r="B80" s="10" t="n">
        <v>45748</v>
      </c>
      <c r="C80" s="12" t="inlineStr">
        <is>
          <t>Sahil</t>
        </is>
      </c>
      <c r="D80" s="12" t="inlineStr">
        <is>
          <t>South</t>
        </is>
      </c>
      <c r="E80" s="12" t="inlineStr">
        <is>
          <t>RAHUL NAIR</t>
        </is>
      </c>
      <c r="F80" s="7" t="inlineStr">
        <is>
          <t>Printer</t>
        </is>
      </c>
      <c r="G80" s="13" t="n">
        <v>4</v>
      </c>
      <c r="H80" s="13" t="n">
        <v>12000</v>
      </c>
      <c r="I80" s="13" t="n">
        <v>5</v>
      </c>
      <c r="J80" s="12" t="inlineStr">
        <is>
          <t>Paid</t>
        </is>
      </c>
      <c r="K80" s="13">
        <f>IF(J80="Paid",G80*H80*(1-I80/100),"")</f>
        <v/>
      </c>
      <c r="L80" s="13">
        <f>G80*H80</f>
        <v/>
      </c>
      <c r="M80" s="13">
        <f>TEXT(B80,"MMMM")</f>
        <v/>
      </c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12" t="inlineStr">
        <is>
          <t>O079</t>
        </is>
      </c>
      <c r="B81" s="6" t="n">
        <v>45740</v>
      </c>
      <c r="C81" s="12" t="inlineStr">
        <is>
          <t>Aditi</t>
        </is>
      </c>
      <c r="D81" s="12" t="inlineStr">
        <is>
          <t>North</t>
        </is>
      </c>
      <c r="E81" s="12" t="inlineStr">
        <is>
          <t>Neha Sharma</t>
        </is>
      </c>
      <c r="F81" s="7" t="inlineStr">
        <is>
          <t>Laptop</t>
        </is>
      </c>
      <c r="G81" s="13" t="n">
        <v>1</v>
      </c>
      <c r="H81" s="13" t="n">
        <v>55000</v>
      </c>
      <c r="I81" s="13" t="n">
        <v>6</v>
      </c>
      <c r="J81" s="12" t="inlineStr">
        <is>
          <t>Paid</t>
        </is>
      </c>
      <c r="K81" s="13">
        <f>IF(J81="Paid",G81*H81*(1-I81/100),"")</f>
        <v/>
      </c>
      <c r="L81" s="13">
        <f>G81*H81</f>
        <v/>
      </c>
      <c r="M81" s="13">
        <f>TEXT(B81,"MMMM")</f>
        <v/>
      </c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30" t="inlineStr">
        <is>
          <t>O080</t>
        </is>
      </c>
      <c r="B82" s="31" t="n">
        <v>45776</v>
      </c>
      <c r="C82" s="30" t="inlineStr">
        <is>
          <t>Sunaina</t>
        </is>
      </c>
      <c r="D82" s="30" t="inlineStr">
        <is>
          <t>East</t>
        </is>
      </c>
      <c r="E82" s="30" t="inlineStr">
        <is>
          <t>RIYA GUPTA</t>
        </is>
      </c>
      <c r="F82" s="32" t="inlineStr">
        <is>
          <t>Office Chair</t>
        </is>
      </c>
      <c r="G82" s="33" t="n">
        <v>2</v>
      </c>
      <c r="H82" s="33" t="n">
        <v>7500</v>
      </c>
      <c r="I82" s="33" t="n">
        <v>5</v>
      </c>
      <c r="J82" s="30" t="inlineStr">
        <is>
          <t>Paid</t>
        </is>
      </c>
      <c r="K82" s="33">
        <f>IF(J82="Paid",G82*H82*(1-I82/100),"")</f>
        <v/>
      </c>
      <c r="L82" s="33">
        <f>G82*H82</f>
        <v/>
      </c>
      <c r="M82" s="33">
        <f>TEXT(B82,"MMMM")</f>
        <v/>
      </c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5" t="inlineStr">
        <is>
          <t>DUPLICATE</t>
        </is>
      </c>
    </row>
    <row r="83">
      <c r="A83" s="12" t="inlineStr">
        <is>
          <t>O082</t>
        </is>
      </c>
      <c r="B83" s="6" t="n">
        <v>45768</v>
      </c>
      <c r="C83" s="12" t="inlineStr">
        <is>
          <t>Arjun Reddy</t>
        </is>
      </c>
      <c r="D83" s="12" t="inlineStr">
        <is>
          <t>South</t>
        </is>
      </c>
      <c r="E83" s="12" t="inlineStr">
        <is>
          <t>neha sharma</t>
        </is>
      </c>
      <c r="F83" s="7" t="inlineStr">
        <is>
          <t>Laptop</t>
        </is>
      </c>
      <c r="G83" s="13" t="n">
        <v>2</v>
      </c>
      <c r="H83" s="13" t="n">
        <v>55000</v>
      </c>
      <c r="I83" s="13" t="n">
        <v>6</v>
      </c>
      <c r="J83" s="12" t="inlineStr">
        <is>
          <t>Paid</t>
        </is>
      </c>
      <c r="K83" s="13">
        <f>IF(J83="Paid",G83*H83*(1-I83/100),"")</f>
        <v/>
      </c>
      <c r="L83" s="13">
        <f>G83*H83</f>
        <v/>
      </c>
      <c r="M83" s="13">
        <f>TEXT(B83,"MMMM")</f>
        <v/>
      </c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12" t="inlineStr">
        <is>
          <t>O083</t>
        </is>
      </c>
      <c r="B84" s="10" t="n">
        <v>45722</v>
      </c>
      <c r="C84" s="12" t="inlineStr">
        <is>
          <t>Pooja</t>
        </is>
      </c>
      <c r="D84" s="12" t="inlineStr">
        <is>
          <t>West</t>
        </is>
      </c>
      <c r="E84" s="12" t="inlineStr">
        <is>
          <t>RAHUL NAIR</t>
        </is>
      </c>
      <c r="F84" s="7" t="inlineStr">
        <is>
          <t>Desk</t>
        </is>
      </c>
      <c r="G84" s="13" t="n">
        <v>1</v>
      </c>
      <c r="H84" s="13" t="n">
        <v>9500</v>
      </c>
      <c r="I84" s="13" t="n">
        <v>3</v>
      </c>
      <c r="J84" s="12" t="inlineStr">
        <is>
          <t>Paid</t>
        </is>
      </c>
      <c r="K84" s="13">
        <f>IF(J84="Paid",G84*H84*(1-I84/100),"")</f>
        <v/>
      </c>
      <c r="L84" s="13">
        <f>G84*H84</f>
        <v/>
      </c>
      <c r="M84" s="13">
        <f>TEXT(B84,"MMMM")</f>
        <v/>
      </c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12" t="inlineStr">
        <is>
          <t>O084</t>
        </is>
      </c>
      <c r="B85" s="6" t="n">
        <v>45733</v>
      </c>
      <c r="C85" s="12" t="inlineStr">
        <is>
          <t>Shiv</t>
        </is>
      </c>
      <c r="D85" s="12" t="inlineStr">
        <is>
          <t>North</t>
        </is>
      </c>
      <c r="E85" s="12" t="inlineStr">
        <is>
          <t>Neha Sharma</t>
        </is>
      </c>
      <c r="F85" s="7" t="inlineStr">
        <is>
          <t>Printer</t>
        </is>
      </c>
      <c r="G85" s="13" t="n">
        <v>2</v>
      </c>
      <c r="H85" s="13" t="n">
        <v>12000</v>
      </c>
      <c r="I85" s="13" t="n">
        <v>5</v>
      </c>
      <c r="J85" s="12" t="inlineStr">
        <is>
          <t>Paid</t>
        </is>
      </c>
      <c r="K85" s="13">
        <f>IF(J85="Paid",G85*H85*(1-I85/100),"")</f>
        <v/>
      </c>
      <c r="L85" s="13">
        <f>G85*H85</f>
        <v/>
      </c>
      <c r="M85" s="13">
        <f>TEXT(B85,"MMMM")</f>
        <v/>
      </c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12" t="inlineStr">
        <is>
          <t>O085</t>
        </is>
      </c>
      <c r="B86" s="6" t="n">
        <v>45700</v>
      </c>
      <c r="C86" s="12" t="inlineStr">
        <is>
          <t>Ananya</t>
        </is>
      </c>
      <c r="D86" s="12" t="inlineStr">
        <is>
          <t>East</t>
        </is>
      </c>
      <c r="E86" s="12" t="inlineStr">
        <is>
          <t>RAHUL NAIR</t>
        </is>
      </c>
      <c r="F86" s="7" t="inlineStr">
        <is>
          <t>Mobile</t>
        </is>
      </c>
      <c r="G86" s="13" t="n">
        <v>3</v>
      </c>
      <c r="H86" s="13" t="n">
        <v>18000</v>
      </c>
      <c r="I86" s="13" t="n">
        <v>4</v>
      </c>
      <c r="J86" s="12" t="inlineStr">
        <is>
          <t>Paid</t>
        </is>
      </c>
      <c r="K86" s="13">
        <f>IF(J86="Paid",G86*H86*(1-I86/100),"")</f>
        <v/>
      </c>
      <c r="L86" s="13">
        <f>G86*H86</f>
        <v/>
      </c>
      <c r="M86" s="13">
        <f>TEXT(B86,"MMMM")</f>
        <v/>
      </c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12" t="inlineStr">
        <is>
          <t>O086</t>
        </is>
      </c>
      <c r="B87" s="6" t="n">
        <v>45716</v>
      </c>
      <c r="C87" s="12" t="inlineStr">
        <is>
          <t>Ramesh</t>
        </is>
      </c>
      <c r="D87" s="12" t="inlineStr">
        <is>
          <t>South</t>
        </is>
      </c>
      <c r="E87" s="12" t="inlineStr">
        <is>
          <t>Anita Joseph</t>
        </is>
      </c>
      <c r="F87" s="7" t="inlineStr">
        <is>
          <t>Office Chair</t>
        </is>
      </c>
      <c r="G87" s="13" t="n">
        <v>2</v>
      </c>
      <c r="H87" s="13" t="n">
        <v>7500</v>
      </c>
      <c r="I87" s="13" t="n">
        <v>4</v>
      </c>
      <c r="J87" s="12" t="inlineStr">
        <is>
          <t>Paid</t>
        </is>
      </c>
      <c r="K87" s="13">
        <f>IF(J87="Paid",G87*H87*(1-I87/100),"")</f>
        <v/>
      </c>
      <c r="L87" s="13">
        <f>G87*H87</f>
        <v/>
      </c>
      <c r="M87" s="13">
        <f>TEXT(B87,"MMMM")</f>
        <v/>
      </c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12" t="inlineStr">
        <is>
          <t>O087</t>
        </is>
      </c>
      <c r="B88" s="10" t="n">
        <v>45751</v>
      </c>
      <c r="C88" s="12" t="inlineStr">
        <is>
          <t>Pranav</t>
        </is>
      </c>
      <c r="D88" s="12" t="inlineStr">
        <is>
          <t>West</t>
        </is>
      </c>
      <c r="E88" s="12" t="inlineStr">
        <is>
          <t>neha sharma</t>
        </is>
      </c>
      <c r="F88" s="7" t="inlineStr">
        <is>
          <t>Laptop</t>
        </is>
      </c>
      <c r="G88" s="13" t="n">
        <v>3</v>
      </c>
      <c r="H88" s="13" t="n">
        <v>55000</v>
      </c>
      <c r="I88" s="13" t="n">
        <v>5</v>
      </c>
      <c r="J88" s="12" t="inlineStr">
        <is>
          <t>Paid</t>
        </is>
      </c>
      <c r="K88" s="13">
        <f>IF(J88="Paid",G88*H88*(1-I88/100),"")</f>
        <v/>
      </c>
      <c r="L88" s="13">
        <f>G88*H88</f>
        <v/>
      </c>
      <c r="M88" s="13">
        <f>TEXT(B88,"MMMM")</f>
        <v/>
      </c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12" t="inlineStr">
        <is>
          <t>O088</t>
        </is>
      </c>
      <c r="B89" s="10" t="n">
        <v>45725</v>
      </c>
      <c r="C89" s="12" t="inlineStr">
        <is>
          <t>Deepak</t>
        </is>
      </c>
      <c r="D89" s="12" t="inlineStr">
        <is>
          <t>East</t>
        </is>
      </c>
      <c r="E89" s="12" t="inlineStr">
        <is>
          <t>RAHUL NAIR</t>
        </is>
      </c>
      <c r="F89" s="7" t="inlineStr">
        <is>
          <t>Printer</t>
        </is>
      </c>
      <c r="G89" s="13" t="n">
        <v>2</v>
      </c>
      <c r="H89" s="13" t="n">
        <v>12000</v>
      </c>
      <c r="I89" s="13" t="n">
        <v>6</v>
      </c>
      <c r="J89" s="12" t="inlineStr">
        <is>
          <t>Paid</t>
        </is>
      </c>
      <c r="K89" s="13">
        <f>IF(J89="Paid",G89*H89*(1-I89/100),"")</f>
        <v/>
      </c>
      <c r="L89" s="13">
        <f>G89*H89</f>
        <v/>
      </c>
      <c r="M89" s="13">
        <f>TEXT(B89,"MMMM")</f>
        <v/>
      </c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12" t="inlineStr">
        <is>
          <t>O089</t>
        </is>
      </c>
      <c r="B90" s="6" t="n">
        <v>45747</v>
      </c>
      <c r="C90" s="12" t="inlineStr">
        <is>
          <t>Suman</t>
        </is>
      </c>
      <c r="D90" s="12" t="inlineStr">
        <is>
          <t>North</t>
        </is>
      </c>
      <c r="E90" s="12" t="inlineStr">
        <is>
          <t>ANITA JOSEPH</t>
        </is>
      </c>
      <c r="F90" s="7" t="inlineStr">
        <is>
          <t>Mobile</t>
        </is>
      </c>
      <c r="G90" s="13" t="n">
        <v>4</v>
      </c>
      <c r="H90" s="13" t="n">
        <v>18000</v>
      </c>
      <c r="I90" s="13" t="n">
        <v>8</v>
      </c>
      <c r="J90" s="12" t="inlineStr">
        <is>
          <t>Paid</t>
        </is>
      </c>
      <c r="K90" s="13">
        <f>IF(J90="Paid",G90*H90*(1-I90/100),"")</f>
        <v/>
      </c>
      <c r="L90" s="13">
        <f>G90*H90</f>
        <v/>
      </c>
      <c r="M90" s="13">
        <f>TEXT(B90,"MMMM")</f>
        <v/>
      </c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12" t="inlineStr">
        <is>
          <t>O090</t>
        </is>
      </c>
      <c r="B91" s="6" t="n">
        <v>45711</v>
      </c>
      <c r="C91" s="12" t="inlineStr">
        <is>
          <t>Ragini</t>
        </is>
      </c>
      <c r="D91" s="12" t="inlineStr">
        <is>
          <t>South</t>
        </is>
      </c>
      <c r="E91" s="12" t="inlineStr">
        <is>
          <t>Neha Sharma</t>
        </is>
      </c>
      <c r="F91" s="7" t="inlineStr">
        <is>
          <t>Desk</t>
        </is>
      </c>
      <c r="G91" s="13" t="n">
        <v>2</v>
      </c>
      <c r="H91" s="13" t="n">
        <v>9500</v>
      </c>
      <c r="I91" s="13" t="n">
        <v>5</v>
      </c>
      <c r="J91" s="12" t="inlineStr">
        <is>
          <t>Paid</t>
        </is>
      </c>
      <c r="K91" s="13">
        <f>IF(J91="Paid",G91*H91*(1-I91/100),"")</f>
        <v/>
      </c>
      <c r="L91" s="13">
        <f>G91*H91</f>
        <v/>
      </c>
      <c r="M91" s="13">
        <f>TEXT(B91,"MMMM")</f>
        <v/>
      </c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12" t="inlineStr">
        <is>
          <t>O091</t>
        </is>
      </c>
      <c r="B92" s="10" t="n">
        <v>45749</v>
      </c>
      <c r="C92" s="12" t="inlineStr">
        <is>
          <t>Nikita</t>
        </is>
      </c>
      <c r="D92" s="12" t="inlineStr">
        <is>
          <t>West</t>
        </is>
      </c>
      <c r="E92" s="12" t="inlineStr">
        <is>
          <t>RAHUL NAIR</t>
        </is>
      </c>
      <c r="F92" s="7" t="inlineStr">
        <is>
          <t>Printer</t>
        </is>
      </c>
      <c r="G92" s="13" t="n">
        <v>3</v>
      </c>
      <c r="H92" s="13" t="n">
        <v>12000</v>
      </c>
      <c r="I92" s="13" t="n">
        <v>5</v>
      </c>
      <c r="J92" s="12" t="inlineStr">
        <is>
          <t>Paid</t>
        </is>
      </c>
      <c r="K92" s="13">
        <f>IF(J92="Paid",G92*H92*(1-I92/100),"")</f>
        <v/>
      </c>
      <c r="L92" s="13">
        <f>G92*H92</f>
        <v/>
      </c>
      <c r="M92" s="13">
        <f>TEXT(B92,"MMMM")</f>
        <v/>
      </c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12" t="inlineStr">
        <is>
          <t>O115</t>
        </is>
      </c>
      <c r="B93" s="10" t="n">
        <v>45752</v>
      </c>
      <c r="C93" s="12" t="inlineStr">
        <is>
          <t>Asha</t>
        </is>
      </c>
      <c r="D93" s="12" t="inlineStr">
        <is>
          <t>East</t>
        </is>
      </c>
      <c r="E93" s="12" t="inlineStr">
        <is>
          <t>neha sharma</t>
        </is>
      </c>
      <c r="F93" s="7" t="inlineStr">
        <is>
          <t>Mobile</t>
        </is>
      </c>
      <c r="G93" s="13" t="n">
        <v>4</v>
      </c>
      <c r="H93" s="12" t="inlineStr">
        <is>
          <t>₹ 18000</t>
        </is>
      </c>
      <c r="I93" s="13" t="n">
        <v>6</v>
      </c>
      <c r="J93" s="12" t="inlineStr">
        <is>
          <t>Pending</t>
        </is>
      </c>
      <c r="K93" s="12">
        <f>IF(J93="Paid",G93*H93*(1-I93/100),"")</f>
        <v/>
      </c>
      <c r="L93" s="12">
        <f>G93*H93</f>
        <v/>
      </c>
      <c r="M93" s="13">
        <f>TEXT(B93,"MMMM")</f>
        <v/>
      </c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30" t="inlineStr">
        <is>
          <t>O080</t>
        </is>
      </c>
      <c r="B94" s="31" t="n">
        <v>45776</v>
      </c>
      <c r="C94" s="30" t="inlineStr">
        <is>
          <t>Sunaina</t>
        </is>
      </c>
      <c r="D94" s="30" t="inlineStr">
        <is>
          <t>East</t>
        </is>
      </c>
      <c r="E94" s="30" t="inlineStr">
        <is>
          <t>RIYA GUPTA</t>
        </is>
      </c>
      <c r="F94" s="32" t="inlineStr">
        <is>
          <t>Office Chair</t>
        </is>
      </c>
      <c r="G94" s="33" t="n">
        <v>2</v>
      </c>
      <c r="H94" s="33" t="n">
        <v>7500</v>
      </c>
      <c r="I94" s="33" t="n">
        <v>5</v>
      </c>
      <c r="J94" s="30" t="inlineStr">
        <is>
          <t>Paid</t>
        </is>
      </c>
      <c r="K94" s="33">
        <f>IF(J94="Paid",G94*H94*(1-I94/100),"")</f>
        <v/>
      </c>
      <c r="L94" s="33">
        <f>G94*H94</f>
        <v/>
      </c>
      <c r="M94" s="33">
        <f>TEXT(B94,"MMMM")</f>
        <v/>
      </c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5" t="inlineStr">
        <is>
          <t>DUPLICATE</t>
        </is>
      </c>
    </row>
    <row r="95">
      <c r="A95" s="12" t="inlineStr">
        <is>
          <t>O092</t>
        </is>
      </c>
      <c r="B95" s="6" t="n">
        <v>45727</v>
      </c>
      <c r="C95" s="12" t="inlineStr">
        <is>
          <t>Santhosh</t>
        </is>
      </c>
      <c r="D95" s="12" t="inlineStr">
        <is>
          <t>East</t>
        </is>
      </c>
      <c r="E95" s="12" t="inlineStr">
        <is>
          <t>neha sharma</t>
        </is>
      </c>
      <c r="F95" s="7" t="inlineStr">
        <is>
          <t>Mobile</t>
        </is>
      </c>
      <c r="G95" s="13" t="n">
        <v>2</v>
      </c>
      <c r="H95" s="13" t="n">
        <v>18000</v>
      </c>
      <c r="I95" s="13" t="n">
        <v>3</v>
      </c>
      <c r="J95" s="12" t="inlineStr">
        <is>
          <t>Paid</t>
        </is>
      </c>
      <c r="K95" s="13">
        <f>IF(J95="Paid",G95*H95*(1-I95/100),"")</f>
        <v/>
      </c>
      <c r="L95" s="13">
        <f>G95*H95</f>
        <v/>
      </c>
      <c r="M95" s="13">
        <f>TEXT(B95,"MMMM")</f>
        <v/>
      </c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12" t="inlineStr">
        <is>
          <t>O093</t>
        </is>
      </c>
      <c r="B96" s="10" t="n">
        <v>45695</v>
      </c>
      <c r="C96" s="12" t="inlineStr">
        <is>
          <t>Sahil</t>
        </is>
      </c>
      <c r="D96" s="12" t="inlineStr">
        <is>
          <t>North</t>
        </is>
      </c>
      <c r="E96" s="12" t="inlineStr">
        <is>
          <t>RAHUL NAIR</t>
        </is>
      </c>
      <c r="F96" s="7" t="inlineStr">
        <is>
          <t>Laptop</t>
        </is>
      </c>
      <c r="G96" s="13" t="n">
        <v>4</v>
      </c>
      <c r="H96" s="13" t="n">
        <v>55000</v>
      </c>
      <c r="I96" s="13" t="n">
        <v>7</v>
      </c>
      <c r="J96" s="12" t="inlineStr">
        <is>
          <t>Paid</t>
        </is>
      </c>
      <c r="K96" s="13">
        <f>IF(J96="Paid",G96*H96*(1-I96/100),"")</f>
        <v/>
      </c>
      <c r="L96" s="13">
        <f>G96*H96</f>
        <v/>
      </c>
      <c r="M96" s="13">
        <f>TEXT(B96,"MMMM")</f>
        <v/>
      </c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12" t="inlineStr">
        <is>
          <t>O094</t>
        </is>
      </c>
      <c r="B97" s="6" t="n">
        <v>45767</v>
      </c>
      <c r="C97" s="12" t="inlineStr">
        <is>
          <t>Meena</t>
        </is>
      </c>
      <c r="D97" s="12" t="inlineStr">
        <is>
          <t>West</t>
        </is>
      </c>
      <c r="E97" s="12" t="inlineStr">
        <is>
          <t>Neha Sharma</t>
        </is>
      </c>
      <c r="F97" s="7" t="inlineStr">
        <is>
          <t>Office Chair</t>
        </is>
      </c>
      <c r="G97" s="13" t="n">
        <v>3</v>
      </c>
      <c r="H97" s="13" t="n">
        <v>7500</v>
      </c>
      <c r="I97" s="13" t="n">
        <v>6</v>
      </c>
      <c r="J97" s="12" t="inlineStr">
        <is>
          <t>Pending</t>
        </is>
      </c>
      <c r="K97" s="12">
        <f>IF(J97="Paid",G97*H97*(1-I97/100),"")</f>
        <v/>
      </c>
      <c r="L97" s="12">
        <f>G97*H97</f>
        <v/>
      </c>
      <c r="M97" s="13">
        <f>TEXT(B97,"MMMM")</f>
        <v/>
      </c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12" t="inlineStr">
        <is>
          <t>O095</t>
        </is>
      </c>
      <c r="B98" s="6" t="n">
        <v>45741</v>
      </c>
      <c r="C98" s="12" t="inlineStr">
        <is>
          <t>Ashok</t>
        </is>
      </c>
      <c r="D98" s="12" t="inlineStr">
        <is>
          <t>South</t>
        </is>
      </c>
      <c r="E98" s="12" t="inlineStr">
        <is>
          <t>ANITA JOSEPH</t>
        </is>
      </c>
      <c r="F98" s="7" t="inlineStr">
        <is>
          <t>Printer</t>
        </is>
      </c>
      <c r="G98" s="13" t="n">
        <v>2</v>
      </c>
      <c r="H98" s="13" t="n">
        <v>12000</v>
      </c>
      <c r="I98" s="13" t="n">
        <v>5</v>
      </c>
      <c r="J98" s="12" t="inlineStr">
        <is>
          <t>Paid</t>
        </is>
      </c>
      <c r="K98" s="13">
        <f>IF(J98="Paid",G98*H98*(1-I98/100),"")</f>
        <v/>
      </c>
      <c r="L98" s="13">
        <f>G98*H98</f>
        <v/>
      </c>
      <c r="M98" s="13">
        <f>TEXT(B98,"MMMM")</f>
        <v/>
      </c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12" t="inlineStr">
        <is>
          <t>O096</t>
        </is>
      </c>
      <c r="B99" s="6" t="n">
        <v>45763</v>
      </c>
      <c r="C99" s="12" t="inlineStr">
        <is>
          <t>Arun Kumar</t>
        </is>
      </c>
      <c r="D99" s="12" t="inlineStr">
        <is>
          <t>West</t>
        </is>
      </c>
      <c r="E99" s="12" t="inlineStr">
        <is>
          <t>Neha Sharma</t>
        </is>
      </c>
      <c r="F99" s="7" t="inlineStr">
        <is>
          <t>Laptop</t>
        </is>
      </c>
      <c r="G99" s="13" t="n">
        <v>7</v>
      </c>
      <c r="H99" s="13" t="n">
        <v>55000</v>
      </c>
      <c r="I99" s="13" t="n">
        <v>1</v>
      </c>
      <c r="J99" s="12" t="inlineStr">
        <is>
          <t>Paid</t>
        </is>
      </c>
      <c r="K99" s="13">
        <f>IF(J99="Paid",G99*H99*(1-I99/100),"")</f>
        <v/>
      </c>
      <c r="L99" s="13">
        <f>G99*H99</f>
        <v/>
      </c>
      <c r="M99" s="13">
        <f>TEXT(B99,"MMMM")</f>
        <v/>
      </c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12" t="inlineStr">
        <is>
          <t>O097</t>
        </is>
      </c>
      <c r="B100" s="10" t="n">
        <v>45693</v>
      </c>
      <c r="C100" s="12" t="inlineStr">
        <is>
          <t>Bhavya</t>
        </is>
      </c>
      <c r="D100" s="12" t="inlineStr">
        <is>
          <t>East</t>
        </is>
      </c>
      <c r="E100" s="12" t="inlineStr">
        <is>
          <t>RAHUL NAIR</t>
        </is>
      </c>
      <c r="F100" s="7" t="inlineStr">
        <is>
          <t>Mobile</t>
        </is>
      </c>
      <c r="G100" s="13" t="n">
        <v>2</v>
      </c>
      <c r="H100" s="13" t="n">
        <v>18000</v>
      </c>
      <c r="I100" s="13" t="n">
        <v>5</v>
      </c>
      <c r="J100" s="12" t="inlineStr">
        <is>
          <t>Paid</t>
        </is>
      </c>
      <c r="K100" s="13">
        <f>IF(J100="Paid",G100*H100*(1-I100/100),"")</f>
        <v/>
      </c>
      <c r="L100" s="13">
        <f>G100*H100</f>
        <v/>
      </c>
      <c r="M100" s="13">
        <f>TEXT(B100,"MMMM")</f>
        <v/>
      </c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12" t="inlineStr">
        <is>
          <t>O098</t>
        </is>
      </c>
      <c r="B101" s="6" t="n">
        <v>45731</v>
      </c>
      <c r="C101" s="12" t="inlineStr">
        <is>
          <t>Vinod</t>
        </is>
      </c>
      <c r="D101" s="12" t="inlineStr">
        <is>
          <t>South</t>
        </is>
      </c>
      <c r="E101" s="12" t="inlineStr">
        <is>
          <t>Neha Sharma</t>
        </is>
      </c>
      <c r="F101" s="7" t="inlineStr">
        <is>
          <t>Desk</t>
        </is>
      </c>
      <c r="G101" s="13" t="n">
        <v>1</v>
      </c>
      <c r="H101" s="13" t="n">
        <v>9500</v>
      </c>
      <c r="I101" s="13" t="n">
        <v>3</v>
      </c>
      <c r="J101" s="12" t="inlineStr">
        <is>
          <t>Paid</t>
        </is>
      </c>
      <c r="K101" s="13">
        <f>IF(J101="Paid",G101*H101*(1-I101/100),"")</f>
        <v/>
      </c>
      <c r="L101" s="13">
        <f>G101*H101</f>
        <v/>
      </c>
      <c r="M101" s="13">
        <f>TEXT(B101,"MMMM")</f>
        <v/>
      </c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12" t="inlineStr">
        <is>
          <t>O099</t>
        </is>
      </c>
      <c r="B102" s="6" t="n">
        <v>45765</v>
      </c>
      <c r="C102" s="12" t="inlineStr">
        <is>
          <t>Pratik</t>
        </is>
      </c>
      <c r="D102" s="12" t="inlineStr">
        <is>
          <t>North</t>
        </is>
      </c>
      <c r="E102" s="12" t="inlineStr">
        <is>
          <t>Anita Joseph</t>
        </is>
      </c>
      <c r="F102" s="7" t="inlineStr">
        <is>
          <t>Office Chair</t>
        </is>
      </c>
      <c r="G102" s="13" t="n">
        <v>4</v>
      </c>
      <c r="H102" s="13" t="n">
        <v>7500</v>
      </c>
      <c r="I102" s="13" t="n">
        <v>4</v>
      </c>
      <c r="J102" s="12" t="inlineStr">
        <is>
          <t>Paid</t>
        </is>
      </c>
      <c r="K102" s="13">
        <f>IF(J102="Paid",G102*H102*(1-I102/100),"")</f>
        <v/>
      </c>
      <c r="L102" s="13">
        <f>G102*H102</f>
        <v/>
      </c>
      <c r="M102" s="13">
        <f>TEXT(B102,"MMMM")</f>
        <v/>
      </c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30" t="inlineStr">
        <is>
          <t>O100</t>
        </is>
      </c>
      <c r="B103" s="31" t="n">
        <v>45715</v>
      </c>
      <c r="C103" s="30" t="inlineStr">
        <is>
          <t>Ankit</t>
        </is>
      </c>
      <c r="D103" s="30" t="inlineStr">
        <is>
          <t>West</t>
        </is>
      </c>
      <c r="E103" s="30" t="inlineStr">
        <is>
          <t>RAHUL NAIR</t>
        </is>
      </c>
      <c r="F103" s="32" t="inlineStr">
        <is>
          <t>Printer</t>
        </is>
      </c>
      <c r="G103" s="33" t="n">
        <v>2</v>
      </c>
      <c r="H103" s="33" t="n">
        <v>12000</v>
      </c>
      <c r="I103" s="33" t="n">
        <v>6</v>
      </c>
      <c r="J103" s="30" t="inlineStr">
        <is>
          <t>Paid</t>
        </is>
      </c>
      <c r="K103" s="33">
        <f>IF(J103="Paid",G103*H103*(1-I103/100),"")</f>
        <v/>
      </c>
      <c r="L103" s="33">
        <f>G103*H103</f>
        <v/>
      </c>
      <c r="M103" s="33">
        <f>TEXT(B103,"MMMM")</f>
        <v/>
      </c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5" t="inlineStr">
        <is>
          <t>DUPLICATE</t>
        </is>
      </c>
    </row>
    <row r="104">
      <c r="A104" s="12" t="inlineStr">
        <is>
          <t>O101</t>
        </is>
      </c>
      <c r="B104" s="10" t="n">
        <v>45755</v>
      </c>
      <c r="C104" s="12" t="inlineStr">
        <is>
          <t>Sahil</t>
        </is>
      </c>
      <c r="D104" s="12" t="inlineStr">
        <is>
          <t>South</t>
        </is>
      </c>
      <c r="E104" s="12" t="inlineStr">
        <is>
          <t>Neha Sharma</t>
        </is>
      </c>
      <c r="F104" s="7" t="inlineStr">
        <is>
          <t>Mobile</t>
        </is>
      </c>
      <c r="G104" s="13" t="n">
        <v>3</v>
      </c>
      <c r="H104" s="13" t="n">
        <v>18000</v>
      </c>
      <c r="I104" s="13" t="n">
        <v>5</v>
      </c>
      <c r="J104" s="12" t="inlineStr">
        <is>
          <t>Paid</t>
        </is>
      </c>
      <c r="K104" s="13">
        <f>IF(J104="Paid",G104*H104*(1-I104/100),"")</f>
        <v/>
      </c>
      <c r="L104" s="13">
        <f>G104*H104</f>
        <v/>
      </c>
      <c r="M104" s="13">
        <f>TEXT(B104,"MMMM")</f>
        <v/>
      </c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12" t="inlineStr">
        <is>
          <t>O102</t>
        </is>
      </c>
      <c r="B105" s="6" t="n">
        <v>45710</v>
      </c>
      <c r="C105" s="12" t="inlineStr">
        <is>
          <t>Shalini S</t>
        </is>
      </c>
      <c r="D105" s="12" t="inlineStr">
        <is>
          <t>East</t>
        </is>
      </c>
      <c r="E105" s="12" t="inlineStr">
        <is>
          <t>ANITA JOSEPH</t>
        </is>
      </c>
      <c r="F105" s="7" t="inlineStr">
        <is>
          <t>Desk</t>
        </is>
      </c>
      <c r="G105" s="13" t="n">
        <v>4</v>
      </c>
      <c r="H105" s="13" t="n">
        <v>9500</v>
      </c>
      <c r="I105" s="13" t="n">
        <v>6</v>
      </c>
      <c r="J105" s="12" t="inlineStr">
        <is>
          <t>Paid</t>
        </is>
      </c>
      <c r="K105" s="13">
        <f>IF(J105="Paid",G105*H105*(1-I105/100),"")</f>
        <v/>
      </c>
      <c r="L105" s="13">
        <f>G105*H105</f>
        <v/>
      </c>
      <c r="M105" s="13">
        <f>TEXT(B105,"MMMM")</f>
        <v/>
      </c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12" t="inlineStr">
        <is>
          <t>O112</t>
        </is>
      </c>
      <c r="B106" s="16" t="n">
        <v>45661</v>
      </c>
      <c r="C106" s="12" t="inlineStr">
        <is>
          <t>Priya</t>
        </is>
      </c>
      <c r="D106" s="12" t="inlineStr">
        <is>
          <t>West</t>
        </is>
      </c>
      <c r="E106" s="12" t="inlineStr">
        <is>
          <t>Neha Sharma</t>
        </is>
      </c>
      <c r="F106" s="7" t="inlineStr">
        <is>
          <t>Printer</t>
        </is>
      </c>
      <c r="G106" s="13" t="n">
        <v>3</v>
      </c>
      <c r="H106" s="13" t="n">
        <v>12000</v>
      </c>
      <c r="I106" s="13" t="n">
        <v>5</v>
      </c>
      <c r="J106" s="12" t="inlineStr">
        <is>
          <t>Paid</t>
        </is>
      </c>
      <c r="K106" s="13">
        <f>IF(J106="Paid",G106*H106*(1-I106/100),"")</f>
        <v/>
      </c>
      <c r="L106" s="13">
        <f>G106*H106</f>
        <v/>
      </c>
      <c r="M106" s="13">
        <f>TEXT(B106,"MMMM")</f>
        <v/>
      </c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12" t="inlineStr">
        <is>
          <t>O103</t>
        </is>
      </c>
      <c r="B107" s="10" t="n">
        <v>45717</v>
      </c>
      <c r="C107" s="12" t="inlineStr">
        <is>
          <t>Deepa Menon</t>
        </is>
      </c>
      <c r="D107" s="12" t="inlineStr">
        <is>
          <t>West</t>
        </is>
      </c>
      <c r="E107" s="12" t="inlineStr">
        <is>
          <t>ANITA JOSEPH</t>
        </is>
      </c>
      <c r="F107" s="7" t="inlineStr">
        <is>
          <t>Mobile</t>
        </is>
      </c>
      <c r="G107" s="13" t="n">
        <v>6</v>
      </c>
      <c r="H107" s="13" t="n">
        <v>18000</v>
      </c>
      <c r="I107" s="13" t="n">
        <v>8</v>
      </c>
      <c r="J107" s="12" t="inlineStr">
        <is>
          <t>Paid</t>
        </is>
      </c>
      <c r="K107" s="13">
        <f>IF(J107="Paid",G107*H107*(1-I107/100),"")</f>
        <v/>
      </c>
      <c r="L107" s="13">
        <f>G107*H107</f>
        <v/>
      </c>
      <c r="M107" s="13">
        <f>TEXT(B107,"MMMM")</f>
        <v/>
      </c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12" t="inlineStr">
        <is>
          <t>O104</t>
        </is>
      </c>
      <c r="B108" s="10" t="n">
        <v>45720</v>
      </c>
      <c r="C108" s="12" t="inlineStr">
        <is>
          <t>Megha S</t>
        </is>
      </c>
      <c r="D108" s="12" t="inlineStr">
        <is>
          <t>North</t>
        </is>
      </c>
      <c r="E108" s="12" t="inlineStr">
        <is>
          <t>RAHUL NAIR</t>
        </is>
      </c>
      <c r="F108" s="7" t="inlineStr">
        <is>
          <t>Printer</t>
        </is>
      </c>
      <c r="G108" s="13" t="n">
        <v>2</v>
      </c>
      <c r="H108" s="13" t="n">
        <v>12000</v>
      </c>
      <c r="I108" s="13" t="n">
        <v>5</v>
      </c>
      <c r="J108" s="12" t="inlineStr">
        <is>
          <t>Paid</t>
        </is>
      </c>
      <c r="K108" s="13">
        <f>IF(J108="Paid",G108*H108*(1-I108/100),"")</f>
        <v/>
      </c>
      <c r="L108" s="13">
        <f>G108*H108</f>
        <v/>
      </c>
      <c r="M108" s="13">
        <f>TEXT(B108,"MMMM")</f>
        <v/>
      </c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12" t="inlineStr">
        <is>
          <t>O105</t>
        </is>
      </c>
      <c r="B109" s="6" t="n">
        <v>45726</v>
      </c>
      <c r="C109" s="12" t="inlineStr">
        <is>
          <t>Naveen</t>
        </is>
      </c>
      <c r="D109" s="12" t="inlineStr">
        <is>
          <t>South</t>
        </is>
      </c>
      <c r="E109" s="12" t="inlineStr">
        <is>
          <t>neha sharma</t>
        </is>
      </c>
      <c r="F109" s="7" t="inlineStr">
        <is>
          <t>Office Chair</t>
        </is>
      </c>
      <c r="G109" s="13" t="n">
        <v>2</v>
      </c>
      <c r="H109" s="13" t="n">
        <v>7500</v>
      </c>
      <c r="I109" s="13" t="n">
        <v>4</v>
      </c>
      <c r="J109" s="12" t="inlineStr">
        <is>
          <t>Paid</t>
        </is>
      </c>
      <c r="K109" s="13">
        <f>IF(J109="Paid",G109*H109*(1-I109/100),"")</f>
        <v/>
      </c>
      <c r="L109" s="13">
        <f>G109*H109</f>
        <v/>
      </c>
      <c r="M109" s="13">
        <f>TEXT(B109,"MMMM")</f>
        <v/>
      </c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12" t="inlineStr">
        <is>
          <t>O106</t>
        </is>
      </c>
      <c r="B110" s="6" t="n">
        <v>45702</v>
      </c>
      <c r="C110" s="12" t="inlineStr">
        <is>
          <t>Sahil</t>
        </is>
      </c>
      <c r="D110" s="12" t="inlineStr">
        <is>
          <t>West</t>
        </is>
      </c>
      <c r="E110" s="12" t="inlineStr">
        <is>
          <t>RAHUL NAIR</t>
        </is>
      </c>
      <c r="F110" s="7" t="inlineStr">
        <is>
          <t>Laptop</t>
        </is>
      </c>
      <c r="G110" s="13" t="n">
        <v>5</v>
      </c>
      <c r="H110" s="13" t="n">
        <v>55000</v>
      </c>
      <c r="I110" s="13" t="n">
        <v>7</v>
      </c>
      <c r="J110" s="12" t="inlineStr">
        <is>
          <t>Paid</t>
        </is>
      </c>
      <c r="K110" s="13">
        <f>IF(J110="Paid",G110*H110*(1-I110/100),"")</f>
        <v/>
      </c>
      <c r="L110" s="13">
        <f>G110*H110</f>
        <v/>
      </c>
      <c r="M110" s="13">
        <f>TEXT(B110,"MMMM")</f>
        <v/>
      </c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12" t="inlineStr">
        <is>
          <t>O107</t>
        </is>
      </c>
      <c r="B111" s="6" t="n">
        <v>45746</v>
      </c>
      <c r="C111" s="12" t="inlineStr">
        <is>
          <t>Kumar</t>
        </is>
      </c>
      <c r="D111" s="12" t="inlineStr">
        <is>
          <t>East</t>
        </is>
      </c>
      <c r="E111" s="12" t="inlineStr">
        <is>
          <t>neha sharma</t>
        </is>
      </c>
      <c r="F111" s="7" t="inlineStr">
        <is>
          <t>Mobile</t>
        </is>
      </c>
      <c r="G111" s="13" t="n">
        <v>3</v>
      </c>
      <c r="H111" s="13" t="n">
        <v>18000</v>
      </c>
      <c r="I111" s="13" t="n">
        <v>5</v>
      </c>
      <c r="J111" s="12" t="inlineStr">
        <is>
          <t>Paid</t>
        </is>
      </c>
      <c r="K111" s="13">
        <f>IF(J111="Paid",G111*H111*(1-I111/100),"")</f>
        <v/>
      </c>
      <c r="L111" s="13">
        <f>G111*H111</f>
        <v/>
      </c>
      <c r="M111" s="13">
        <f>TEXT(B111,"MMMM")</f>
        <v/>
      </c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12" t="inlineStr">
        <is>
          <t>O108</t>
        </is>
      </c>
      <c r="B112" s="6" t="n">
        <v>45714</v>
      </c>
      <c r="C112" s="12" t="inlineStr">
        <is>
          <t>Ramesh K</t>
        </is>
      </c>
      <c r="D112" s="12" t="inlineStr">
        <is>
          <t>North</t>
        </is>
      </c>
      <c r="E112" s="12" t="inlineStr">
        <is>
          <t>Srikanth Verma</t>
        </is>
      </c>
      <c r="F112" s="7" t="inlineStr">
        <is>
          <t>Laptop</t>
        </is>
      </c>
      <c r="G112" s="13" t="n">
        <v>1</v>
      </c>
      <c r="H112" s="13" t="n">
        <v>55000</v>
      </c>
      <c r="I112" s="11" t="n">
        <v>0.08</v>
      </c>
      <c r="J112" s="12" t="inlineStr">
        <is>
          <t>Pending</t>
        </is>
      </c>
      <c r="K112" s="12">
        <f>IF(J112="Paid",G112*H112*(1-I112/100),"")</f>
        <v/>
      </c>
      <c r="L112" s="12">
        <f>G112*H112</f>
        <v/>
      </c>
      <c r="M112" s="13">
        <f>TEXT(B112,"MMMM")</f>
        <v/>
      </c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12" t="inlineStr">
        <is>
          <t>O109</t>
        </is>
      </c>
      <c r="B113" s="10" t="n">
        <v>45756</v>
      </c>
      <c r="C113" s="12" t="inlineStr">
        <is>
          <t>Tejaswini</t>
        </is>
      </c>
      <c r="D113" s="12" t="inlineStr">
        <is>
          <t>South</t>
        </is>
      </c>
      <c r="E113" s="12" t="inlineStr">
        <is>
          <t>Anita Joseph</t>
        </is>
      </c>
      <c r="F113" s="7" t="inlineStr">
        <is>
          <t>Printer</t>
        </is>
      </c>
      <c r="G113" s="13" t="n">
        <v>2</v>
      </c>
      <c r="H113" s="13" t="n">
        <v>12000</v>
      </c>
      <c r="I113" s="13" t="n">
        <v>5</v>
      </c>
      <c r="J113" s="12" t="inlineStr">
        <is>
          <t>Paid</t>
        </is>
      </c>
      <c r="K113" s="13">
        <f>IF(J113="Paid",G113*H113*(1-I113/100),"")</f>
        <v/>
      </c>
      <c r="L113" s="13">
        <f>G113*H113</f>
        <v/>
      </c>
      <c r="M113" s="13">
        <f>TEXT(B113,"MMMM")</f>
        <v/>
      </c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12" t="inlineStr">
        <is>
          <t>O110</t>
        </is>
      </c>
      <c r="B114" s="10" t="n">
        <v>45691</v>
      </c>
      <c r="C114" s="12" t="inlineStr">
        <is>
          <t>Bhavana</t>
        </is>
      </c>
      <c r="D114" s="12" t="inlineStr">
        <is>
          <t>West</t>
        </is>
      </c>
      <c r="E114" s="12" t="inlineStr">
        <is>
          <t>RAHUL NAIR</t>
        </is>
      </c>
      <c r="F114" s="7" t="inlineStr">
        <is>
          <t>Desk</t>
        </is>
      </c>
      <c r="G114" s="13" t="n">
        <v>2</v>
      </c>
      <c r="H114" s="13" t="n">
        <v>9500</v>
      </c>
      <c r="I114" s="13" t="n">
        <v>4</v>
      </c>
      <c r="J114" s="12" t="inlineStr">
        <is>
          <t>Paid</t>
        </is>
      </c>
      <c r="K114" s="13">
        <f>IF(J114="Paid",G114*H114*(1-I114/100),"")</f>
        <v/>
      </c>
      <c r="L114" s="13">
        <f>G114*H114</f>
        <v/>
      </c>
      <c r="M114" s="13">
        <f>TEXT(B114,"MMMM")</f>
        <v/>
      </c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12" t="inlineStr">
        <is>
          <t>O111</t>
        </is>
      </c>
      <c r="B115" s="6" t="n">
        <v>45735</v>
      </c>
      <c r="C115" s="12" t="inlineStr">
        <is>
          <t>Neha</t>
        </is>
      </c>
      <c r="D115" s="12" t="inlineStr">
        <is>
          <t>East</t>
        </is>
      </c>
      <c r="E115" s="12" t="inlineStr">
        <is>
          <t>NEHA SHARMA</t>
        </is>
      </c>
      <c r="F115" s="7" t="inlineStr">
        <is>
          <t>Mobile</t>
        </is>
      </c>
      <c r="G115" s="13" t="n">
        <v>4</v>
      </c>
      <c r="H115" s="13" t="n">
        <v>18000</v>
      </c>
      <c r="I115" s="13" t="n">
        <v>6</v>
      </c>
      <c r="J115" s="12" t="inlineStr">
        <is>
          <t>Paid</t>
        </is>
      </c>
      <c r="K115" s="13">
        <f>IF(J115="Paid",G115*H115*(1-I115/100),"")</f>
        <v/>
      </c>
      <c r="L115" s="13">
        <f>G115*H115</f>
        <v/>
      </c>
      <c r="M115" s="13">
        <f>TEXT(B115,"MMMM")</f>
        <v/>
      </c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12" t="inlineStr">
        <is>
          <t>O113</t>
        </is>
      </c>
      <c r="B116" s="6" t="n">
        <v>45700</v>
      </c>
      <c r="C116" s="12" t="inlineStr">
        <is>
          <t>Arjun Reddy</t>
        </is>
      </c>
      <c r="D116" s="12" t="inlineStr">
        <is>
          <t>South</t>
        </is>
      </c>
      <c r="E116" s="12" t="inlineStr">
        <is>
          <t>RAHUL NAIR</t>
        </is>
      </c>
      <c r="F116" s="7" t="inlineStr">
        <is>
          <t>Desk</t>
        </is>
      </c>
      <c r="G116" s="13" t="n">
        <v>2</v>
      </c>
      <c r="H116" s="13" t="n">
        <v>9500</v>
      </c>
      <c r="I116" s="13" t="n">
        <v>6</v>
      </c>
      <c r="J116" s="12" t="inlineStr">
        <is>
          <t>Paid</t>
        </is>
      </c>
      <c r="K116" s="13">
        <f>IF(J116="Paid",G116*H116*(1-I116/100),"")</f>
        <v/>
      </c>
      <c r="L116" s="13">
        <f>G116*H116</f>
        <v/>
      </c>
      <c r="M116" s="13">
        <f>TEXT(B116,"MMMM")</f>
        <v/>
      </c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12" t="inlineStr">
        <is>
          <t>O114</t>
        </is>
      </c>
      <c r="B117" s="6" t="n">
        <v>45740</v>
      </c>
      <c r="C117" s="12" t="inlineStr">
        <is>
          <t>Pradeep</t>
        </is>
      </c>
      <c r="D117" s="12" t="inlineStr">
        <is>
          <t>North</t>
        </is>
      </c>
      <c r="E117" s="12" t="inlineStr">
        <is>
          <t>Anita Joseph</t>
        </is>
      </c>
      <c r="F117" s="7" t="inlineStr">
        <is>
          <t>Laptop</t>
        </is>
      </c>
      <c r="G117" s="13" t="n">
        <v>2</v>
      </c>
      <c r="H117" s="13" t="n">
        <v>55000</v>
      </c>
      <c r="I117" s="13" t="n">
        <v>5</v>
      </c>
      <c r="J117" s="12" t="inlineStr">
        <is>
          <t>Paid</t>
        </is>
      </c>
      <c r="K117" s="13">
        <f>IF(J117="Paid",G117*H117*(1-I117/100),"")</f>
        <v/>
      </c>
      <c r="L117" s="13">
        <f>G117*H117</f>
        <v/>
      </c>
      <c r="M117" s="13">
        <f>TEXT(B117,"MMMM")</f>
        <v/>
      </c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12" t="inlineStr">
        <is>
          <t>O116</t>
        </is>
      </c>
      <c r="B118" s="6" t="n">
        <v>45703</v>
      </c>
      <c r="C118" s="12" t="inlineStr">
        <is>
          <t>Maya</t>
        </is>
      </c>
      <c r="D118" s="12" t="inlineStr">
        <is>
          <t>South</t>
        </is>
      </c>
      <c r="E118" s="12" t="inlineStr">
        <is>
          <t>RAHUL NAIR</t>
        </is>
      </c>
      <c r="F118" s="7" t="inlineStr">
        <is>
          <t>Printer</t>
        </is>
      </c>
      <c r="G118" s="13" t="n">
        <v>3</v>
      </c>
      <c r="H118" s="13" t="n">
        <v>12000</v>
      </c>
      <c r="I118" s="13" t="n">
        <v>4</v>
      </c>
      <c r="J118" s="12" t="inlineStr">
        <is>
          <t>Paid</t>
        </is>
      </c>
      <c r="K118" s="13">
        <f>IF(J118="Paid",G118*H118*(1-I118/100),"")</f>
        <v/>
      </c>
      <c r="L118" s="13">
        <f>G118*H118</f>
        <v/>
      </c>
      <c r="M118" s="13">
        <f>TEXT(B118,"MMMM")</f>
        <v/>
      </c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12" t="inlineStr">
        <is>
          <t>O117</t>
        </is>
      </c>
      <c r="B119" s="15" t="inlineStr">
        <is>
          <t xml:space="preserve">21-Apr-2025 </t>
        </is>
      </c>
      <c r="C119" s="12" t="inlineStr">
        <is>
          <t>Neha Sharma</t>
        </is>
      </c>
      <c r="D119" s="12" t="inlineStr">
        <is>
          <t>West</t>
        </is>
      </c>
      <c r="E119" s="12" t="inlineStr">
        <is>
          <t>ANITA JOSEPH</t>
        </is>
      </c>
      <c r="F119" s="7" t="inlineStr">
        <is>
          <t>Desk</t>
        </is>
      </c>
      <c r="G119" s="13" t="n">
        <v>2</v>
      </c>
      <c r="H119" s="13" t="n">
        <v>9500</v>
      </c>
      <c r="I119" s="13" t="n">
        <v>5</v>
      </c>
      <c r="J119" s="12" t="inlineStr">
        <is>
          <t>Paid</t>
        </is>
      </c>
      <c r="K119" s="13">
        <f>IF(J119="Paid",G119*H119*(1-I119/100),"")</f>
        <v/>
      </c>
      <c r="L119" s="13">
        <f>G119*H119</f>
        <v/>
      </c>
      <c r="M119" s="13">
        <f>TEXT(B119,"MMMM")</f>
        <v/>
      </c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12" t="inlineStr">
        <is>
          <t>O118</t>
        </is>
      </c>
      <c r="B120" s="10" t="n">
        <v>45718</v>
      </c>
      <c r="C120" s="12" t="inlineStr">
        <is>
          <t>Dinesh</t>
        </is>
      </c>
      <c r="D120" s="12" t="inlineStr">
        <is>
          <t>North</t>
        </is>
      </c>
      <c r="E120" s="12" t="inlineStr">
        <is>
          <t>Neha Sharma</t>
        </is>
      </c>
      <c r="F120" s="7" t="inlineStr">
        <is>
          <t>Office Chair</t>
        </is>
      </c>
      <c r="G120" s="13" t="n">
        <v>1</v>
      </c>
      <c r="H120" s="13" t="n">
        <v>7500</v>
      </c>
      <c r="I120" s="13" t="n">
        <v>6</v>
      </c>
      <c r="J120" s="12" t="inlineStr">
        <is>
          <t>Paid</t>
        </is>
      </c>
      <c r="K120" s="13">
        <f>IF(J120="Paid",G120*H120*(1-I120/100),"")</f>
        <v/>
      </c>
      <c r="L120" s="13">
        <f>G120*H120</f>
        <v/>
      </c>
      <c r="M120" s="13">
        <f>TEXT(B120,"MMMM")</f>
        <v/>
      </c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12" t="inlineStr">
        <is>
          <t>O119</t>
        </is>
      </c>
      <c r="B121" s="10" t="n">
        <v>45754</v>
      </c>
      <c r="C121" s="12" t="inlineStr">
        <is>
          <t>Suresh</t>
        </is>
      </c>
      <c r="D121" s="12" t="inlineStr">
        <is>
          <t>East</t>
        </is>
      </c>
      <c r="E121" s="12" t="inlineStr">
        <is>
          <t>RAHUL NAIR</t>
        </is>
      </c>
      <c r="F121" s="7" t="inlineStr">
        <is>
          <t>Mobile</t>
        </is>
      </c>
      <c r="G121" s="13" t="n">
        <v>5</v>
      </c>
      <c r="H121" s="13" t="n">
        <v>18000</v>
      </c>
      <c r="I121" s="13" t="n">
        <v>7</v>
      </c>
      <c r="J121" s="12" t="inlineStr">
        <is>
          <t>Pending</t>
        </is>
      </c>
      <c r="K121" s="12">
        <f>IF(J121="Paid",G121*H121*(1-I121/100),"")</f>
        <v/>
      </c>
      <c r="L121" s="12">
        <f>G121*H121</f>
        <v/>
      </c>
      <c r="M121" s="13">
        <f>TEXT(B121,"MMMM")</f>
        <v/>
      </c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12" t="inlineStr">
        <is>
          <t>O120</t>
        </is>
      </c>
      <c r="B122" s="6" t="n">
        <v>45704</v>
      </c>
      <c r="C122" s="12" t="inlineStr">
        <is>
          <t>Ramesh</t>
        </is>
      </c>
      <c r="D122" s="12" t="inlineStr">
        <is>
          <t>South</t>
        </is>
      </c>
      <c r="E122" s="12" t="inlineStr">
        <is>
          <t>Neha Sharma</t>
        </is>
      </c>
      <c r="F122" s="7" t="inlineStr">
        <is>
          <t>Printer</t>
        </is>
      </c>
      <c r="G122" s="13" t="n">
        <v>3</v>
      </c>
      <c r="H122" s="13" t="n">
        <v>12000</v>
      </c>
      <c r="I122" s="13" t="n">
        <v>6</v>
      </c>
      <c r="J122" s="12" t="inlineStr">
        <is>
          <t>Paid</t>
        </is>
      </c>
      <c r="K122" s="13">
        <f>IF(J122="Paid",G122*H122*(1-I122/100),"")</f>
        <v/>
      </c>
      <c r="L122" s="13">
        <f>G122*H122</f>
        <v/>
      </c>
      <c r="M122" s="13">
        <f>TEXT(B122,"MMMM")</f>
        <v/>
      </c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12" t="inlineStr">
        <is>
          <t>O121</t>
        </is>
      </c>
      <c r="B123" s="6" t="n">
        <v>45727</v>
      </c>
      <c r="C123" s="12" t="inlineStr">
        <is>
          <t>Aditi</t>
        </is>
      </c>
      <c r="D123" s="12" t="inlineStr">
        <is>
          <t>West</t>
        </is>
      </c>
      <c r="E123" s="12" t="inlineStr">
        <is>
          <t>RAHUL NAIR</t>
        </is>
      </c>
      <c r="F123" s="12" t="inlineStr">
        <is>
          <t>Laptop</t>
        </is>
      </c>
      <c r="G123" s="13" t="n">
        <v>1</v>
      </c>
      <c r="H123" s="13" t="n">
        <v>55000</v>
      </c>
      <c r="I123" s="13" t="n">
        <v>5</v>
      </c>
      <c r="J123" s="12" t="inlineStr">
        <is>
          <t>Paid</t>
        </is>
      </c>
      <c r="K123" s="13">
        <f>IF(J123="Paid",G123*H123*(1-I123/100),"")</f>
        <v/>
      </c>
      <c r="L123" s="13">
        <f>G123*H123</f>
        <v/>
      </c>
      <c r="M123" s="13">
        <f>TEXT(B123,"MMMM")</f>
        <v/>
      </c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12" t="inlineStr">
        <is>
          <t>O122</t>
        </is>
      </c>
      <c r="B124" s="15" t="inlineStr">
        <is>
          <t xml:space="preserve">22-Feb-2025 </t>
        </is>
      </c>
      <c r="C124" s="12" t="inlineStr">
        <is>
          <t>NoteDate</t>
        </is>
      </c>
      <c r="D124" s="12" t="inlineStr">
        <is>
          <t>South</t>
        </is>
      </c>
      <c r="E124" s="12" t="inlineStr">
        <is>
          <t>Neha Sharma</t>
        </is>
      </c>
      <c r="F124" s="12" t="inlineStr">
        <is>
          <t>Mobile</t>
        </is>
      </c>
      <c r="G124" s="13" t="n">
        <v>2</v>
      </c>
      <c r="H124" s="13" t="n">
        <v>18000</v>
      </c>
      <c r="I124" s="13" t="n">
        <v>4</v>
      </c>
      <c r="J124" s="12" t="inlineStr">
        <is>
          <t>Paid</t>
        </is>
      </c>
      <c r="K124" s="13">
        <f>IF(J124="Paid",G124*H124*(1-I124/100),"")</f>
        <v/>
      </c>
      <c r="L124" s="13">
        <f>G124*H124</f>
        <v/>
      </c>
      <c r="M124" s="13">
        <f>TEXT(B124,"MMMM")</f>
        <v/>
      </c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12" t="inlineStr">
        <is>
          <t>O123</t>
        </is>
      </c>
      <c r="B125" s="10" t="n">
        <v>45749</v>
      </c>
      <c r="C125" s="12" t="inlineStr">
        <is>
          <t>Pranav</t>
        </is>
      </c>
      <c r="D125" s="12" t="inlineStr">
        <is>
          <t>North</t>
        </is>
      </c>
      <c r="E125" s="12" t="inlineStr">
        <is>
          <t>Anita Joseph</t>
        </is>
      </c>
      <c r="F125" s="12" t="inlineStr">
        <is>
          <t>Desk</t>
        </is>
      </c>
      <c r="G125" s="13" t="n">
        <v>3</v>
      </c>
      <c r="H125" s="13" t="n">
        <v>9500</v>
      </c>
      <c r="I125" s="13" t="n">
        <v>6</v>
      </c>
      <c r="J125" s="12" t="inlineStr">
        <is>
          <t>Paid</t>
        </is>
      </c>
      <c r="K125" s="13">
        <f>IF(J125="Paid",G125*H125*(1-I125/100),"")</f>
        <v/>
      </c>
      <c r="L125" s="13">
        <f>G125*H125</f>
        <v/>
      </c>
      <c r="M125" s="13">
        <f>TEXT(B125,"MMMM")</f>
        <v/>
      </c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12" t="inlineStr">
        <is>
          <t>O124</t>
        </is>
      </c>
      <c r="B126" s="10" t="n">
        <v>45724</v>
      </c>
      <c r="C126" s="12" t="inlineStr">
        <is>
          <t>Gita</t>
        </is>
      </c>
      <c r="D126" s="12" t="inlineStr">
        <is>
          <t>West</t>
        </is>
      </c>
      <c r="E126" s="12" t="inlineStr">
        <is>
          <t>RAHUL NAIR</t>
        </is>
      </c>
      <c r="F126" s="12" t="inlineStr">
        <is>
          <t>Printer</t>
        </is>
      </c>
      <c r="G126" s="13" t="n">
        <v>2</v>
      </c>
      <c r="H126" s="13" t="n">
        <v>12000</v>
      </c>
      <c r="I126" s="13" t="n">
        <v>5</v>
      </c>
      <c r="J126" s="12" t="inlineStr">
        <is>
          <t>Paid</t>
        </is>
      </c>
      <c r="K126" s="13">
        <f>IF(J126="Paid",G126*H126*(1-I126/100),"")</f>
        <v/>
      </c>
      <c r="L126" s="13">
        <f>G126*H126</f>
        <v/>
      </c>
      <c r="M126" s="13">
        <f>TEXT(B126,"MMMM")</f>
        <v/>
      </c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12" t="inlineStr">
        <is>
          <t>O125</t>
        </is>
      </c>
      <c r="B127" s="6" t="n">
        <v>45705</v>
      </c>
      <c r="C127" s="12" t="inlineStr">
        <is>
          <t>Sahil</t>
        </is>
      </c>
      <c r="D127" s="12" t="inlineStr">
        <is>
          <t>East</t>
        </is>
      </c>
      <c r="E127" s="12" t="inlineStr">
        <is>
          <t>Neha Sharma</t>
        </is>
      </c>
      <c r="F127" s="12" t="inlineStr">
        <is>
          <t>Mobile</t>
        </is>
      </c>
      <c r="G127" s="13" t="n">
        <v>6</v>
      </c>
      <c r="H127" s="13" t="n">
        <v>18000</v>
      </c>
      <c r="I127" s="13" t="n">
        <v>8</v>
      </c>
      <c r="J127" s="12" t="inlineStr">
        <is>
          <t>Paid</t>
        </is>
      </c>
      <c r="K127" s="13">
        <f>IF(J127="Paid",G127*H127*(1-I127/100),"")</f>
        <v/>
      </c>
      <c r="L127" s="13">
        <f>G127*H127</f>
        <v/>
      </c>
      <c r="M127" s="13">
        <f>TEXT(B127,"MMMM")</f>
        <v/>
      </c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M128" s="0">
        <f>TEXT(B128,"MMMM")</f>
        <v/>
      </c>
    </row>
    <row r="129">
      <c r="M129" s="0">
        <f>TEXT(B129,"MMMM")</f>
        <v/>
      </c>
    </row>
    <row r="130">
      <c r="J130" s="27" t="inlineStr">
        <is>
          <t>Total Revenue:</t>
        </is>
      </c>
      <c r="L130" s="27">
        <f>SUM(L2:L127)</f>
        <v/>
      </c>
      <c r="M130" s="0">
        <f>TEXT(B130,"MMMM")</f>
        <v/>
      </c>
    </row>
    <row r="131">
      <c r="M131" s="0">
        <f>TEXT(B131,"MMMM")</f>
        <v/>
      </c>
    </row>
    <row r="132">
      <c r="J132" s="0" t="inlineStr">
        <is>
          <t>Total Orders:</t>
        </is>
      </c>
      <c r="L132" s="0">
        <f>COUNTA(J2:J127)</f>
        <v/>
      </c>
      <c r="M132" s="0">
        <f>TEXT(B132,"MMMM")</f>
        <v/>
      </c>
    </row>
    <row r="133">
      <c r="J133" s="0" t="inlineStr">
        <is>
          <t>Unpaid/Pending:</t>
        </is>
      </c>
      <c r="L133" s="0">
        <f>COUNTIF(J2:J127,"Unpaid")+COUNTIF(J2:J127,"Pending")</f>
        <v/>
      </c>
      <c r="M133" s="0">
        <f>TEXT(B133,"MMMM")</f>
        <v/>
      </c>
    </row>
    <row r="134">
      <c r="J134" s="27" t="inlineStr">
        <is>
          <t>Percentage:</t>
        </is>
      </c>
      <c r="L134" s="27">
        <f>L133/L132*100&amp;"%"</f>
        <v/>
      </c>
      <c r="M134" s="0">
        <f>TEXT(B134,"MMMM")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Y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3.88" customWidth="1" style="25" min="1" max="1"/>
    <col width="55.38" customWidth="1" style="25" min="2" max="2"/>
  </cols>
  <sheetData>
    <row r="1">
      <c r="A1" s="17" t="inlineStr">
        <is>
          <t>Questions</t>
        </is>
      </c>
      <c r="B1" s="18" t="inlineStr">
        <is>
          <t>Answers</t>
        </is>
      </c>
      <c r="C1" s="19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</row>
    <row r="2">
      <c r="A2" s="20" t="inlineStr">
        <is>
          <t>List 3 issues (anomalies) you found in the dataset and explain how it affects the analysis</t>
        </is>
      </c>
      <c r="B2" s="21" t="inlineStr">
        <is>
          <t>1. Duplicate Rows: There are 2 duplicate rows in the dataset (Order O080 appears in rows 81 &amp; 93, Order O100 appears in rows 46 &amp; 102). This affects analysis by inflating counts and revenue calculations. IMPORTANT: The Excel formulas include ALL rows. For accurate pivot analysis, duplicates should be removed first. With duplicates: West=₹1,858,965, East=₹1,104,235. Without duplicates: West=₹1,836,405, East=₹1,089,985.
2. Missing Salesperson Names: 1 order(s) have missing salesperson names. This affects performance tracking, commission calculations, and prevents accurate salesperson-level analytics.
3. Data Type Issues: 'Unit Price' is stored as text in some cells instead of numeric type, and 'Order Date' needs to be properly formatted. This prevents proper numerical operations, sorting, and date-based filtering, potentially causing calculation errors.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20" t="inlineStr">
        <is>
          <t>Fill the “Net Revenue” and “Revenue” columns in the Orders sheet using formulas.
For orders where Payment Status = Paid:
- Net Revenue = Quantity × Unit Price × (1 − Discount%)
- Revenue = Quantity × Unit Price</t>
        </is>
      </c>
      <c r="B3" s="21" t="inlineStr">
        <is>
          <t>Excel formulas applied in orders sheet: Revenue = Quantity × Unit Price; Net Revenue = IF(Payment Status="Paid", Quantity × Unit Price × (1 - Discount%/100), "")</t>
        </is>
      </c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22" t="inlineStr">
        <is>
          <t>Create a pivot table showing Net Revenue for each Region. Mention the Region with highest Net Revenue</t>
        </is>
      </c>
      <c r="B4" s="21" t="inlineStr">
        <is>
          <t>Pivot table created. Highest Net Revenue Region: West. NOTE: Excel formulas include duplicates (₹1,858,965.00). Pivot table excluding duplicates shows ₹1,836,405.00. The 2 duplicate rows (O080 and O100) cause a difference of ₹22,560+₹14,250=₹36,810.</t>
        </is>
      </c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23" t="inlineStr">
        <is>
          <t>Calculate the Total Revenue (Answer using formula)</t>
        </is>
      </c>
      <c r="B5" s="21" t="inlineStr">
        <is>
          <t>Total Revenue formula: =SUM(L2:L127) (See orders sheet for formula)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23" t="inlineStr">
        <is>
          <t>What percentage of total orders are Unpaid or Pending? (Answer using formula)</t>
        </is>
      </c>
      <c r="B6" s="21" t="inlineStr">
        <is>
          <t>14.29% (See orders sheet for formula)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22" t="inlineStr">
        <is>
          <t>1. Fill the “Month” column in the Orders subsheet by extracting the month from the Order Date using a formula.
2. Insert a new subsheet with name "Products sold" &amp; build a summary table that shows the total quantity sold for each product, month-wise. (Answer using formula, Rearrange columns if required)
3. Mention which month and which product recorded the highest total quantity sold based on the summary.</t>
        </is>
      </c>
      <c r="B7" s="21" t="inlineStr">
        <is>
          <t>Month column filled with TEXT formula. See "Products sold" sheet with SUMIFS formulas for monthly summary. Mobile in March had highest quantity (58 units).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20" t="inlineStr">
        <is>
          <t>Determine whether higher discounts lead to higher revenue? Explain your conclusion using supporting numbers or statistics from the data.</t>
        </is>
      </c>
      <c r="B8" s="21" t="inlineStr">
        <is>
          <t>CONCLUSION:
The correlation coefficient of 0.1028 indicates a positive relationship between discount percentage and net revenue. 
Analysis shows:
- Orders with low discounts (≤5%) have an average net revenue of ₹42,608.50
- Orders with high discounts (&gt;5%) have an average net revenue of ₹63,503.54
Higher discounts lead to HIGHER net revenue per order on average.
However, the total net revenue from high discount orders is higher (₹3,048,170.00 vs ₹2,556,510.00),
suggesting that the discount strategy of orders matters more than individual discount levels for overall revenue.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24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Product</t>
        </is>
      </c>
      <c r="B1" s="27" t="inlineStr">
        <is>
          <t>January</t>
        </is>
      </c>
      <c r="C1" s="27" t="inlineStr">
        <is>
          <t>February</t>
        </is>
      </c>
      <c r="D1" s="27" t="inlineStr">
        <is>
          <t>March</t>
        </is>
      </c>
      <c r="E1" s="27" t="inlineStr">
        <is>
          <t>April</t>
        </is>
      </c>
      <c r="F1" s="27" t="inlineStr">
        <is>
          <t>Total</t>
        </is>
      </c>
    </row>
    <row r="2">
      <c r="A2" s="0" t="inlineStr">
        <is>
          <t>Desk</t>
        </is>
      </c>
      <c r="B2" s="0">
        <f>SUMIFS(orders!$G:$G,orders!$F:$F,$A2,orders!$M:$M,"January")</f>
        <v/>
      </c>
      <c r="C2" s="0">
        <f>SUMIFS(orders!$G:$G,orders!$F:$F,$A2,orders!$M:$M,"February")</f>
        <v/>
      </c>
      <c r="D2" s="0">
        <f>SUMIFS(orders!$G:$G,orders!$F:$F,$A2,orders!$M:$M,"March")</f>
        <v/>
      </c>
      <c r="E2" s="0">
        <f>SUMIFS(orders!$G:$G,orders!$F:$F,$A2,orders!$M:$M,"April")</f>
        <v/>
      </c>
      <c r="F2" s="0">
        <f>SUM(B2:E2)</f>
        <v/>
      </c>
    </row>
    <row r="3">
      <c r="A3" s="0" t="inlineStr">
        <is>
          <t>Laptop</t>
        </is>
      </c>
      <c r="B3" s="0">
        <f>SUMIFS(orders!$G:$G,orders!$F:$F,$A3,orders!$M:$M,"January")</f>
        <v/>
      </c>
      <c r="C3" s="0">
        <f>SUMIFS(orders!$G:$G,orders!$F:$F,$A3,orders!$M:$M,"February")</f>
        <v/>
      </c>
      <c r="D3" s="0">
        <f>SUMIFS(orders!$G:$G,orders!$F:$F,$A3,orders!$M:$M,"March")</f>
        <v/>
      </c>
      <c r="E3" s="0">
        <f>SUMIFS(orders!$G:$G,orders!$F:$F,$A3,orders!$M:$M,"April")</f>
        <v/>
      </c>
      <c r="F3" s="0">
        <f>SUM(B3:E3)</f>
        <v/>
      </c>
    </row>
    <row r="4">
      <c r="A4" s="0" t="inlineStr">
        <is>
          <t>Mobile</t>
        </is>
      </c>
      <c r="B4" s="0">
        <f>SUMIFS(orders!$G:$G,orders!$F:$F,$A4,orders!$M:$M,"January")</f>
        <v/>
      </c>
      <c r="C4" s="0">
        <f>SUMIFS(orders!$G:$G,orders!$F:$F,$A4,orders!$M:$M,"February")</f>
        <v/>
      </c>
      <c r="D4" s="0">
        <f>SUMIFS(orders!$G:$G,orders!$F:$F,$A4,orders!$M:$M,"March")</f>
        <v/>
      </c>
      <c r="E4" s="0">
        <f>SUMIFS(orders!$G:$G,orders!$F:$F,$A4,orders!$M:$M,"April")</f>
        <v/>
      </c>
      <c r="F4" s="0">
        <f>SUM(B4:E4)</f>
        <v/>
      </c>
    </row>
    <row r="5">
      <c r="A5" s="0" t="inlineStr">
        <is>
          <t>Office Chair</t>
        </is>
      </c>
      <c r="B5" s="0">
        <f>SUMIFS(orders!$G:$G,orders!$F:$F,$A5,orders!$M:$M,"January")</f>
        <v/>
      </c>
      <c r="C5" s="0">
        <f>SUMIFS(orders!$G:$G,orders!$F:$F,$A5,orders!$M:$M,"February")</f>
        <v/>
      </c>
      <c r="D5" s="0">
        <f>SUMIFS(orders!$G:$G,orders!$F:$F,$A5,orders!$M:$M,"March")</f>
        <v/>
      </c>
      <c r="E5" s="0">
        <f>SUMIFS(orders!$G:$G,orders!$F:$F,$A5,orders!$M:$M,"April")</f>
        <v/>
      </c>
      <c r="F5" s="0">
        <f>SUM(B5:E5)</f>
        <v/>
      </c>
    </row>
    <row r="6">
      <c r="A6" s="0" t="inlineStr">
        <is>
          <t>Printer</t>
        </is>
      </c>
      <c r="B6" s="0">
        <f>SUMIFS(orders!$G:$G,orders!$F:$F,$A6,orders!$M:$M,"January")</f>
        <v/>
      </c>
      <c r="C6" s="0">
        <f>SUMIFS(orders!$G:$G,orders!$F:$F,$A6,orders!$M:$M,"February")</f>
        <v/>
      </c>
      <c r="D6" s="0">
        <f>SUMIFS(orders!$G:$G,orders!$F:$F,$A6,orders!$M:$M,"March")</f>
        <v/>
      </c>
      <c r="E6" s="0">
        <f>SUMIFS(orders!$G:$G,orders!$F:$F,$A6,orders!$M:$M,"April")</f>
        <v/>
      </c>
      <c r="F6" s="0">
        <f>SUM(B6:E6)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2025-12-21T09:08:41Z</dcterms:created>
  <dcterms:modified xsi:type="dcterms:W3CDTF">2025-12-21T09:09:55Z</dcterms:modified>
</cp:coreProperties>
</file>